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学习日志\"/>
    </mc:Choice>
  </mc:AlternateContent>
  <bookViews>
    <workbookView windowWidth="20745" windowHeight="9675" activeTab="1"/>
  </bookViews>
  <sheets>
    <sheet name="总览" sheetId="1" r:id="rId1"/>
    <sheet name="每日计划" sheetId="2" r:id="rId2"/>
    <sheet name="周复盘" sheetId="3" r:id="rId3"/>
    <sheet name="能力地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tc={C9396C1F-70F3-F826-EA4D-429C8AE55DFC}</author>
    <author>tc={42335E85-DA50-D9F5-D732-5820D30A04D9}</author>
    <author>tc={E63D549C-1B20-1679-1042-0CBFA9728084}</author>
  </authors>
  <commentList>
    <comment ref="E17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参考学习平台：https://docs.px4.io/main/en/simulation/</t>
        </r>
      </text>
    </comment>
    <comment ref="E38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SIL/HIL工作流参考：https://www.mathworks.com/products/uav.html</t>
        </r>
      </text>
    </comment>
    <comment ref="E339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岗位要求应以目标企业当年官方招聘页面为准，例如：https://careers.dji.com/zh-CN/campus</t>
        </r>
      </text>
    </comment>
  </commentList>
</comments>
</file>

<file path=xl/sharedStrings.xml><?xml version="1.0" encoding="utf-8"?>
<sst xmlns="http://schemas.openxmlformats.org/spreadsheetml/2006/main" count="3215" uniqueCount="620">
  <si>
    <t>固定翼飞控就业学习计划
2026-08-03 至 2027-08-01｜52周｜每周约12.5小时</t>
  </si>
  <si>
    <t>关键设置</t>
  </si>
  <si>
    <t>内容</t>
  </si>
  <si>
    <t>主求职方向</t>
  </si>
  <si>
    <t>固定翼飞控/控制算法</t>
  </si>
  <si>
    <t>扩展方向</t>
  </si>
  <si>
    <t>机器人运动控制</t>
  </si>
  <si>
    <t>工程补充</t>
  </si>
  <si>
    <t>飞控软件/嵌入式</t>
  </si>
  <si>
    <t>计划开始</t>
  </si>
  <si>
    <t>计划结束</t>
  </si>
  <si>
    <t>每周计划</t>
  </si>
  <si>
    <t>12.5小时（周一至周五各1.5h，周六4h，周日1h）</t>
  </si>
  <si>
    <t>今日入口</t>
  </si>
  <si>
    <t>日期</t>
  </si>
  <si>
    <t>周次</t>
  </si>
  <si>
    <t>阶段</t>
  </si>
  <si>
    <t>主题</t>
  </si>
  <si>
    <t>今日任务</t>
  </si>
  <si>
    <t>计划时长</t>
  </si>
  <si>
    <t>状态</t>
  </si>
  <si>
    <t>总体进度</t>
  </si>
  <si>
    <t>计划任务</t>
  </si>
  <si>
    <t>已完成</t>
  </si>
  <si>
    <t>完成率</t>
  </si>
  <si>
    <t>实际时长</t>
  </si>
  <si>
    <t>时间达成率</t>
  </si>
  <si>
    <t>当前连续性</t>
  </si>
  <si>
    <t>周数</t>
  </si>
  <si>
    <t>已完成任务</t>
  </si>
  <si>
    <t>基础与工具</t>
  </si>
  <si>
    <t>PX4与基线控制</t>
  </si>
  <si>
    <t>算法部署与验证</t>
  </si>
  <si>
    <t>工程验证与求职</t>
  </si>
  <si>
    <t>执行规则</t>
  </si>
  <si>
    <t>1</t>
  </si>
  <si>
    <t>每天先打开“总览”看今日任务；完成后只填写“实际时长、状态、困难/复盘、成果链接”。</t>
  </si>
  <si>
    <t>2</t>
  </si>
  <si>
    <t>任务超过计划时长仍未完成时，记录阻塞点并停止扩张范围；周日统一调整，不用熬夜补齐。</t>
  </si>
  <si>
    <t>3</t>
  </si>
  <si>
    <t>考试、项目出差或试飞冲突时，可将状态设为“跳过/调整”，但必须在周复盘填写替代安排。</t>
  </si>
  <si>
    <t>每日计划与打卡
只编辑浅黄色列：实际时长、状态、困难/复盘、成果链接</t>
  </si>
  <si>
    <t>星期</t>
  </si>
  <si>
    <t>本周主题</t>
  </si>
  <si>
    <t>当日任务</t>
  </si>
  <si>
    <t>预期产出</t>
  </si>
  <si>
    <t>计划时长(h)</t>
  </si>
  <si>
    <t>实际时长(h)</t>
  </si>
  <si>
    <t>困难/复盘</t>
  </si>
  <si>
    <t>成果链接/提交</t>
  </si>
  <si>
    <t>周一</t>
  </si>
  <si>
    <t>方向确认与环境搭建</t>
  </si>
  <si>
    <t>理论：列出飞控算法、飞控软件、机器人控制三类岗位各10个JD关键词</t>
  </si>
  <si>
    <t>结构化笔记/公式页</t>
  </si>
  <si>
    <t>了解关键词含义，总结各岗位需求</t>
  </si>
  <si>
    <t>文件夹中"关键词.md"</t>
  </si>
  <si>
    <t>周二</t>
  </si>
  <si>
    <t>仿真/数据：用Python读取一份CSV并绘制折线图</t>
  </si>
  <si>
    <t>可运行脚本与结果图</t>
  </si>
  <si>
    <t>进行中</t>
  </si>
  <si>
    <t/>
  </si>
  <si>
    <t>周三</t>
  </si>
  <si>
    <t>编程：编译运行首个C++程序，熟悉编译器与终端</t>
  </si>
  <si>
    <t>可编译代码与提交记录</t>
  </si>
  <si>
    <t>未开始</t>
  </si>
  <si>
    <t>周四</t>
  </si>
  <si>
    <t>平台实践：安装PX4依赖并浏览官方固定翼文档结构</t>
  </si>
  <si>
    <t>截图/日志/源码阅读记录</t>
  </si>
  <si>
    <t>周五</t>
  </si>
  <si>
    <t>验证：检查全部工具版本，记录安装问题和解决过程</t>
  </si>
  <si>
    <t>指标表、失败原因与修正</t>
  </si>
  <si>
    <t>周六</t>
  </si>
  <si>
    <t>周成果：形成《现状盘点与一年目标》1页文档</t>
  </si>
  <si>
    <t>周日</t>
  </si>
  <si>
    <t>周复盘：检查“方向确认与环境搭建”完成情况，整理笔记与代码，填写周复盘并为下周预留调整空间</t>
  </si>
  <si>
    <t>周复盘记录、完成率和下周调整项</t>
  </si>
  <si>
    <t>Linux命令行与Git</t>
  </si>
  <si>
    <t>理论：练习文件、权限、进程、管道、环境变量与SSH基础</t>
  </si>
  <si>
    <t>仿真/数据：用Git完成分支、提交、合并和冲突解决练习</t>
  </si>
  <si>
    <t>编程：写一个C++日志解析小程序并用Git管理</t>
  </si>
  <si>
    <t>平台实践：克隆PX4仓库，阅读目录结构和贡献规范</t>
  </si>
  <si>
    <t>验证：故意制造一次合并冲突并完整解决</t>
  </si>
  <si>
    <t>周成果：建立个人学习仓库，提交规范README</t>
  </si>
  <si>
    <t>周复盘：检查“Linux命令行与Git”完成情况，整理笔记与代码，填写周复盘并为下周预留调整空间</t>
  </si>
  <si>
    <t>C++语法与数据结构</t>
  </si>
  <si>
    <t>理论：复习类型、函数、引用、const、类和STL容器</t>
  </si>
  <si>
    <t>仿真/数据：实现向量/矩阵基础运算并编写输入输出</t>
  </si>
  <si>
    <t>编程：练习vector、map、algorithm和lambda</t>
  </si>
  <si>
    <t>平台实践：定位PX4源码中的常用容器与数学类型</t>
  </si>
  <si>
    <t>验证：用10组边界数据测试数值程序</t>
  </si>
  <si>
    <t>周成果：完成一个带说明的C++数值计算小项目</t>
  </si>
  <si>
    <t>周复盘：检查“C++语法与数据结构”完成情况，整理笔记与代码，填写周复盘并为下周预留调整空间</t>
  </si>
  <si>
    <t>现代C++与资源管理</t>
  </si>
  <si>
    <t>理论：梳理栈/堆、生命周期、拷贝与移动语义</t>
  </si>
  <si>
    <t>仿真/数据：重构上周程序，消除裸指针和重复资源释放</t>
  </si>
  <si>
    <t>编程：练习unique_ptr、shared_ptr、optional和enum class</t>
  </si>
  <si>
    <t>平台实践：阅读PX4模块类的初始化和生命周期管理</t>
  </si>
  <si>
    <t>验证：用编译警告或检查工具排查资源问题</t>
  </si>
  <si>
    <t>周成果：输出《现代C++常见错误清单》</t>
  </si>
  <si>
    <t>周复盘：检查“现代C++与资源管理”完成情况，整理笔记与代码，填写周复盘并为下周预留调整空间</t>
  </si>
  <si>
    <t>CMake、调试与测试</t>
  </si>
  <si>
    <t>理论：理解编译、链接、静态库、动态库与CMake target</t>
  </si>
  <si>
    <t>仿真/数据：拆分多文件项目并添加CMakeLists.txt</t>
  </si>
  <si>
    <t>编程：使用断点、调用栈和变量监视定位一个缺陷</t>
  </si>
  <si>
    <t>平台实践：查看PX4构建命令及模块构建配置</t>
  </si>
  <si>
    <t>验证：为数值模块增加至少5个单元测试</t>
  </si>
  <si>
    <t>周成果：形成可一键构建和测试的工程模板</t>
  </si>
  <si>
    <t>周复盘：检查“CMake、调试与测试”完成情况，整理笔记与代码，填写周复盘并为下周预留调整空间</t>
  </si>
  <si>
    <t>坐标系与姿态表示</t>
  </si>
  <si>
    <t>理论：复习地理/机体/风轴系、欧拉角、旋转矩阵与四元数</t>
  </si>
  <si>
    <t>仿真/数据：用MATLAB验证旋转矩阵正交性和姿态变换</t>
  </si>
  <si>
    <t>编程：用C++实现欧拉角与四元数转换并测试奇异情况</t>
  </si>
  <si>
    <t>平台实践：在PX4消息中查找姿态、角速度和坐标系定义</t>
  </si>
  <si>
    <t>验证：对同一姿态做MATLAB与C++交叉验证</t>
  </si>
  <si>
    <t>周成果：绘制坐标系关系图并整理公式笔记</t>
  </si>
  <si>
    <t>周复盘：检查“坐标系与姿态表示”完成情况，整理笔记与代码，填写周复盘并为下周预留调整空间</t>
  </si>
  <si>
    <t>固定翼六自由度动力学</t>
  </si>
  <si>
    <t>理论：推导平动、转动运动学与动力学方程</t>
  </si>
  <si>
    <t>仿真/数据：在MATLAB实现六自由度状态方程骨架</t>
  </si>
  <si>
    <t>编程：在C++实现状态导数接口和数值积分</t>
  </si>
  <si>
    <t>平台实践：查阅PX4固定翼仿真机型的状态与执行器接口</t>
  </si>
  <si>
    <t>验证：用无外力/恒定力矩等简单工况验证守恒与符号</t>
  </si>
  <si>
    <t>周成果：完成六自由度模型说明和基础仿真图</t>
  </si>
  <si>
    <t>周复盘：检查“固定翼六自由度动力学”完成情况，整理笔记与代码，填写周复盘并为下周预留调整空间</t>
  </si>
  <si>
    <t>气动力、气动力矩与推进</t>
  </si>
  <si>
    <t>理论：复习升阻侧力、滚俯偏力矩和无量纲导数</t>
  </si>
  <si>
    <t>仿真/数据：加入简化气动模型与推进模型</t>
  </si>
  <si>
    <t>编程：将气动参数组织为可配置C++结构体</t>
  </si>
  <si>
    <t>平台实践：对照仿真机型参数理解翼面积、弦长和展长</t>
  </si>
  <si>
    <t>验证：做迎角/空速扫描并检查力和力矩趋势</t>
  </si>
  <si>
    <t>周成果：输出气动参数敏感性图表</t>
  </si>
  <si>
    <t>周复盘：检查“气动力、气动力矩与推进”完成情况，整理笔记与代码，填写周复盘并为下周预留调整空间</t>
  </si>
  <si>
    <t>配平与线性化</t>
  </si>
  <si>
    <t>理论：理解配平条件、数值求解、Jacobian和小扰动假设</t>
  </si>
  <si>
    <t>仿真/数据：用MATLAB求解巡航配平并数值线性化</t>
  </si>
  <si>
    <t>编程：写脚本自动比较非线性与线性模型响应</t>
  </si>
  <si>
    <t>平台实践：了解PX4固定翼巡航参数及配平相关设置</t>
  </si>
  <si>
    <t>验证：改变空速和质量，比较不同工作点模型</t>
  </si>
  <si>
    <t>周成果：保存A/B矩阵、配平值和验证图</t>
  </si>
  <si>
    <t>周复盘：检查“配平与线性化”完成情况，整理笔记与代码，填写周复盘并为下周预留调整空间</t>
  </si>
  <si>
    <t>状态空间、稳定性与模态</t>
  </si>
  <si>
    <t>理论：复习特征值、可控性、可观性和稳定性指标</t>
  </si>
  <si>
    <t>仿真/数据：计算短周期、长周期、滚转、荷兰滚等模态</t>
  </si>
  <si>
    <t>编程：用C++或Python批量计算特征值并导出结果</t>
  </si>
  <si>
    <t>平台实践：将模态认识与实际姿态/航向回路对应</t>
  </si>
  <si>
    <t>验证：对气动导数摄动，观察特征值变化</t>
  </si>
  <si>
    <t>周成果：完成《固定翼模态分析》短报告</t>
  </si>
  <si>
    <t>周复盘：检查“状态空间、稳定性与模态”完成情况，整理笔记与代码，填写周复盘并为下周预留调整空间</t>
  </si>
  <si>
    <t>PID串级控制与抗饱和</t>
  </si>
  <si>
    <t>理论：复习PID、串级带宽、滤波、前馈和anti-windup</t>
  </si>
  <si>
    <t>仿真/数据：在MATLAB搭建滚转角—滚转角速度串级回路</t>
  </si>
  <si>
    <t>编程：用C++实现带限幅和抗积分饱和的PID类</t>
  </si>
  <si>
    <t>平台实践：阅读PX4固定翼角速度/姿态控制相关代码</t>
  </si>
  <si>
    <t>验证：对阶跃、阵风和舵面饱和进行测试</t>
  </si>
  <si>
    <t>周成果：输出调参记录和性能指标表</t>
  </si>
  <si>
    <t>周复盘：检查“PID串级控制与抗饱和”完成情况，整理笔记与代码，填写周复盘并为下周预留调整空间</t>
  </si>
  <si>
    <t>LQR与状态观测</t>
  </si>
  <si>
    <t>理论：复习二次型指标、Riccati方程和观测器</t>
  </si>
  <si>
    <t>仿真/数据：为线性模型设计LQR并与PID比较</t>
  </si>
  <si>
    <t>编程：实现离散状态反馈接口和配置读取</t>
  </si>
  <si>
    <t>平台实践：查找PX4估计输出如何进入控制器</t>
  </si>
  <si>
    <t>验证：做测量噪声和模型偏差试验</t>
  </si>
  <si>
    <t>周成果：形成PID/LQR对比结论</t>
  </si>
  <si>
    <t>周复盘：检查“LQR与状态观测”完成情况，整理笔记与代码，填写周复盘并为下周预留调整空间</t>
  </si>
  <si>
    <t>阶段一综合验收</t>
  </si>
  <si>
    <t>理论：复盘前12周知识，补齐薄弱概念</t>
  </si>
  <si>
    <t>仿真/数据：运行完整的建模—控制—绘图脚本</t>
  </si>
  <si>
    <t>编程：清理代码结构、测试和构建说明</t>
  </si>
  <si>
    <t>平台实践：尝试运行一次PX4固定翼SITL示例</t>
  </si>
  <si>
    <t>验证：让同学按README复现实验并记录问题</t>
  </si>
  <si>
    <t>周成果：发布阶段一里程碑v0.1和3分钟讲解</t>
  </si>
  <si>
    <t>周复盘：检查“阶段一综合验收”完成情况，整理笔记与代码，填写周复盘并为下周预留调整空间</t>
  </si>
  <si>
    <t>PX4编译与固定翼SITL</t>
  </si>
  <si>
    <t>理论：理解SITL、HITL/HIL、飞控、仿真器和地面站关系</t>
  </si>
  <si>
    <t>仿真/数据：记录起飞、航线、返航过程中的关键状态</t>
  </si>
  <si>
    <t>编程：熟悉PX4编译目标、启动脚本和参数文件</t>
  </si>
  <si>
    <t>平台实践：跑通固定翼SITL与QGroundControl</t>
  </si>
  <si>
    <t>验证：更换机型/航线并复现一次故障后恢复</t>
  </si>
  <si>
    <t>周成果：输出SITL启动手册和演示录像</t>
  </si>
  <si>
    <t>周复盘：检查“PX4编译与固定翼SITL”完成情况，整理笔记与代码，填写周复盘并为下周预留调整空间</t>
  </si>
  <si>
    <t>PX4架构、uORB与参数</t>
  </si>
  <si>
    <t>理论：理解模块、任务、uORB消息、参数和日志机制</t>
  </si>
  <si>
    <t>仿真/数据：画出姿态估计—控制—执行器数据流</t>
  </si>
  <si>
    <t>编程：新建最小PX4模块，订阅和发布uORB消息</t>
  </si>
  <si>
    <t>平台实践：使用参数定义和运行时参数更新</t>
  </si>
  <si>
    <t>验证：检查消息频率、时间戳和丢包表现</t>
  </si>
  <si>
    <t>周成果：提交最小模块与架构图</t>
  </si>
  <si>
    <t>周复盘：检查“PX4架构、uORB与参数”完成情况，整理笔记与代码，填写周复盘并为下周预留调整空间</t>
  </si>
  <si>
    <t>固定翼角速度与姿态控制</t>
  </si>
  <si>
    <t>理论：梳理角速度环、姿态环、前馈、增益调度和限幅</t>
  </si>
  <si>
    <t>仿真/数据：用日志绘制姿态设定值、实际值和执行器输出</t>
  </si>
  <si>
    <t>编程：为关键控制路径添加不影响实时性的调试日志</t>
  </si>
  <si>
    <t>平台实践：逐函数阅读固定翼内环代码并做注释笔记</t>
  </si>
  <si>
    <t>验证：改变增益观察稳定性、超调和控制量变化</t>
  </si>
  <si>
    <t>周成果：输出控制框图和关键参数表</t>
  </si>
  <si>
    <t>周复盘：检查“固定翼角速度与姿态控制”完成情况，整理笔记与代码，填写周复盘并为下周预留调整空间</t>
  </si>
  <si>
    <t>横向制导与航迹跟踪</t>
  </si>
  <si>
    <t>理论：学习航迹误差、前视制导和侧向加速度指令</t>
  </si>
  <si>
    <t>仿真/数据：从日志计算交叉航迹误差</t>
  </si>
  <si>
    <t>编程：编写航迹误差与滚转指令分析脚本</t>
  </si>
  <si>
    <t>平台实践：阅读PX4当前固定翼横向制导模块</t>
  </si>
  <si>
    <t>验证：比较不同空速/风速下的航线跟踪</t>
  </si>
  <si>
    <t>周成果：形成横向制导实验报告</t>
  </si>
  <si>
    <t>周复盘：检查“横向制导与航迹跟踪”完成情况，整理笔记与代码，填写周复盘并为下周预留调整空间</t>
  </si>
  <si>
    <t>纵向能量控制</t>
  </si>
  <si>
    <t>理论：学习总能量、能量分配和爬升率约束</t>
  </si>
  <si>
    <t>仿真/数据：绘制高度/空速/油门/俯仰的联合时序图</t>
  </si>
  <si>
    <t>编程：写脚本自动识别空速或高度误差峰值</t>
  </si>
  <si>
    <t>平台实践：阅读PX4纵向能量控制相关代码与参数</t>
  </si>
  <si>
    <t>验证：设计爬升、下降和逆风工况</t>
  </si>
  <si>
    <t>周成果：输出纵向控制参数影响总结</t>
  </si>
  <si>
    <t>周复盘：检查“纵向能量控制”完成情况，整理笔记与代码，填写周复盘并为下周预留调整空间</t>
  </si>
  <si>
    <t>执行器分配、限幅与舵机</t>
  </si>
  <si>
    <t>理论：复习混控、舵面限制、速率限制和失效影响</t>
  </si>
  <si>
    <t>仿真/数据：建立舵面饱和与速率限制模型</t>
  </si>
  <si>
    <t>编程：实现限幅事件统计和日志标记</t>
  </si>
  <si>
    <t>平台实践：追踪PX4控制分配到执行器输出的数据链</t>
  </si>
  <si>
    <t>验证：注入单舵面限制并观察闭环反应</t>
  </si>
  <si>
    <t>周成果：完成执行器链路与风险清单</t>
  </si>
  <si>
    <t>周复盘：检查“执行器分配、限幅与舵机”完成情况，整理笔记与代码，填写周复盘并为下周预留调整空间</t>
  </si>
  <si>
    <t>飞行模式与故障保护</t>
  </si>
  <si>
    <t>理论：学习解锁、模式、返航、地理围栏和失效保护</t>
  </si>
  <si>
    <t>仿真/数据：绘制模式状态机和关键触发条件</t>
  </si>
  <si>
    <t>编程：写日志脚本提取模式切换事件</t>
  </si>
  <si>
    <t>平台实践：在SITL中配置并触发GPS/遥控/数据链失效</t>
  </si>
  <si>
    <t>验证：检查每种失效是否符合预期并记录恢复步骤</t>
  </si>
  <si>
    <t>周成果：形成安全测试用例表</t>
  </si>
  <si>
    <t>周复盘：检查“飞行模式与故障保护”完成情况，整理笔记与代码，填写周复盘并为下周预留调整空间</t>
  </si>
  <si>
    <t>MAVLink、任务与地面站</t>
  </si>
  <si>
    <t>理论：理解MAVLink消息、心跳、任务协议和参数协议</t>
  </si>
  <si>
    <t>仿真/数据：用MAVSDK/Python读取姿态与位置数据</t>
  </si>
  <si>
    <t>编程：编写自动上传简单航线的小工具</t>
  </si>
  <si>
    <t>平台实践：用QGroundControl建立固定翼任务</t>
  </si>
  <si>
    <t>验证：测试连接中断、重连和任务恢复</t>
  </si>
  <si>
    <t>周成果：提交任务工具和通信说明</t>
  </si>
  <si>
    <t>周复盘：检查“MAVLink、任务与地面站”完成情况，整理笔记与代码，填写周复盘并为下周预留调整空间</t>
  </si>
  <si>
    <t>飞行日志与Python分析</t>
  </si>
  <si>
    <t>理论：明确控制评估需要的信号、单位和时间对齐</t>
  </si>
  <si>
    <t>仿真/数据：用Python解析ULog并绘制标准控制图</t>
  </si>
  <si>
    <t>编程：封装RMSE、超调、调节时间和控制努力指标</t>
  </si>
  <si>
    <t>平台实践：对一段SITL日志完成端到端分析</t>
  </si>
  <si>
    <t>验证：用人工检查核对脚本输出的3个关键指标</t>
  </si>
  <si>
    <t>周成果：发布日志分析工具v0.1</t>
  </si>
  <si>
    <t>周复盘：检查“飞行日志与Python分析”完成情况，整理笔记与代码，填写周复盘并为下周预留调整空间</t>
  </si>
  <si>
    <t>风场、扰动与Monte Carlo</t>
  </si>
  <si>
    <t>理论：学习阵风、持续风和参数不确定性建模</t>
  </si>
  <si>
    <t>仿真/数据：设计不少于20组扰动组合</t>
  </si>
  <si>
    <t>编程：写批量启动仿真、收集日志和汇总结果脚本</t>
  </si>
  <si>
    <t>平台实践：在SITL中配置不同风场</t>
  </si>
  <si>
    <t>验证：检查随机种子、失败重试和异常值</t>
  </si>
  <si>
    <t>周成果：输出鲁棒性箱线图/统计表</t>
  </si>
  <si>
    <t>周复盘：检查“风场、扰动与Monte Carlo”完成情况，整理笔记与代码，填写周复盘并为下周预留调整空间</t>
  </si>
  <si>
    <t>系统辨识与参数校准</t>
  </si>
  <si>
    <t>理论：复习最小二乘、激励设计、过拟合与验证集</t>
  </si>
  <si>
    <t>仿真/数据：用仿真数据辨识一阶/二阶动态参数</t>
  </si>
  <si>
    <t>编程：实现辨识与交叉验证脚本</t>
  </si>
  <si>
    <t>平台实践：选择PX4日志中可用于辨识的输入输出</t>
  </si>
  <si>
    <t>验证：用独立数据验证模型预测误差</t>
  </si>
  <si>
    <t>周成果：形成辨识流程和误差结论</t>
  </si>
  <si>
    <t>周复盘：检查“系统辨识与参数校准”完成情况，整理笔记与代码，填写周复盘并为下周预留调整空间</t>
  </si>
  <si>
    <t>基线控制器复现</t>
  </si>
  <si>
    <t>理论：确定基线工况、参数和指标定义</t>
  </si>
  <si>
    <t>仿真/数据：在自建模型中复现PX4相近控制结构</t>
  </si>
  <si>
    <t>编程：整理基线配置、脚本和版本信息</t>
  </si>
  <si>
    <t>平台实践：固定PX4代码版本与参数快照</t>
  </si>
  <si>
    <t>验证：重复运行3次确认结果一致性</t>
  </si>
  <si>
    <t>周成果：发布基线实验包v0.2</t>
  </si>
  <si>
    <t>周复盘：检查“基线控制器复现”完成情况，整理笔记与代码，填写周复盘并为下周预留调整空间</t>
  </si>
  <si>
    <t>阶段二综合验收</t>
  </si>
  <si>
    <t>理论：复盘PX4架构、制导、控制、执行器和安全</t>
  </si>
  <si>
    <t>仿真/数据：生成一份完整航线任务的指标报告</t>
  </si>
  <si>
    <t>编程：清理分析工具并增加错误处理</t>
  </si>
  <si>
    <t>平台实践：从设定值追踪到执行器输出并现场讲解</t>
  </si>
  <si>
    <t>验证：邀请同学提出5个问题并补充证据</t>
  </si>
  <si>
    <t>周成果：完成阶段二技术报告与演示</t>
  </si>
  <si>
    <t>周复盘：检查“阶段二综合验收”完成情况，整理笔记与代码，填写周复盘并为下周预留调整空间</t>
  </si>
  <si>
    <t>约束跟随问题形式化</t>
  </si>
  <si>
    <t>理论：明确对象、约束、扰动、性能指标和基线</t>
  </si>
  <si>
    <t>仿真/数据：建立最小可运行的约束跟随仿真例子</t>
  </si>
  <si>
    <t>编程：定义统一控制器接口和配置格式</t>
  </si>
  <si>
    <t>平台实践：选择PX4中的接入层级并说明原因</t>
  </si>
  <si>
    <t>验证：检查目标是否可测、约束是否可验证</t>
  </si>
  <si>
    <t>周成果：输出1页问题定义与实验矩阵</t>
  </si>
  <si>
    <t>周复盘：检查“约束跟随问题形式化”完成情况，整理笔记与代码，填写周复盘并为下周预留调整空间</t>
  </si>
  <si>
    <t>稳定性与可实现性</t>
  </si>
  <si>
    <t>理论：整理Lyapunov推导、收敛条件和参数边界</t>
  </si>
  <si>
    <t>仿真/数据：用数值实验验证关键不等式和收敛趋势</t>
  </si>
  <si>
    <t>编程：将连续算法写成清晰伪代码</t>
  </si>
  <si>
    <t>平台实践：对照飞控采样率、信号可用性检查假设</t>
  </si>
  <si>
    <t>验证：列出理论假设失效的工况</t>
  </si>
  <si>
    <t>周成果：形成稳定性证明说明与假设清单</t>
  </si>
  <si>
    <t>周复盘：检查“稳定性与可实现性”完成情况，整理笔记与代码，填写周复盘并为下周预留调整空间</t>
  </si>
  <si>
    <t>离散化与实时实现</t>
  </si>
  <si>
    <t>理论：学习采样、离散化、数值微分/积分和滤波</t>
  </si>
  <si>
    <t>仿真/数据：比较不同采样周期下的控制效果</t>
  </si>
  <si>
    <t>编程：实现固定周期update接口并避免动态内存</t>
  </si>
  <si>
    <t>平台实践：测量PX4目标模块的运行频率</t>
  </si>
  <si>
    <t>验证：测试采样抖动、延迟和浮点精度</t>
  </si>
  <si>
    <t>周成果：输出离散实现设计说明</t>
  </si>
  <si>
    <t>周复盘：检查“离散化与实时实现”完成情况，整理笔记与代码，填写周复盘并为下周预留调整空间</t>
  </si>
  <si>
    <t>控制器接口与仿真封装</t>
  </si>
  <si>
    <t>理论：定义输入、输出、状态、参数和故障返回</t>
  </si>
  <si>
    <t>仿真/数据：在MATLAB/Python建立统一批量实验入口</t>
  </si>
  <si>
    <t>编程：用C++抽象控制器接口并接入两个实现</t>
  </si>
  <si>
    <t>平台实践：设计PX4参数开关选择控制器</t>
  </si>
  <si>
    <t>验证：运行同一测试用例验证接口一致性</t>
  </si>
  <si>
    <t>周成果：发布可切换控制器框架</t>
  </si>
  <si>
    <t>周复盘：检查“控制器接口与仿真封装”完成情况，整理笔记与代码，填写周复盘并为下周预留调整空间</t>
  </si>
  <si>
    <t>PX4模块集成</t>
  </si>
  <si>
    <t>理论：明确修改点、数据流和回退机制</t>
  </si>
  <si>
    <t>仿真/数据：先用录制数据离线回放控制器</t>
  </si>
  <si>
    <t>编程：将控制器接入PX4并保持代码改动最小</t>
  </si>
  <si>
    <t>平台实践：完成编译、启动、参数加载和基础飞行</t>
  </si>
  <si>
    <t>验证：触发异常输入确认能安全回退</t>
  </si>
  <si>
    <t>周成果：提交集成版本和变更说明</t>
  </si>
  <si>
    <t>周复盘：检查“PX4模块集成”完成情况，整理笔记与代码，填写周复盘并为下周预留调整空间</t>
  </si>
  <si>
    <t>标称工况SIL测试</t>
  </si>
  <si>
    <t>理论：冻结机型、航线、初始状态和验收阈值</t>
  </si>
  <si>
    <t>仿真/数据：运行阶跃、航线和高度变化测试</t>
  </si>
  <si>
    <t>编程：修复数值问题并增加回归测试</t>
  </si>
  <si>
    <t>平台实践：完成不少于10次SITL标称试验</t>
  </si>
  <si>
    <t>验证：检查失败用例而非只保留最佳结果</t>
  </si>
  <si>
    <t>周成果：形成标称性能基线表</t>
  </si>
  <si>
    <t>周复盘：检查“标称工况SIL测试”完成情况，整理笔记与代码，填写周复盘并为下周预留调整空间</t>
  </si>
  <si>
    <t>风扰鲁棒性测试</t>
  </si>
  <si>
    <t>理论：设计持续风、阵风、风向变化和强度分级</t>
  </si>
  <si>
    <t>仿真/数据：批量运行风扰试验并计算置信区间</t>
  </si>
  <si>
    <t>编程：完善自动重试和日志归档</t>
  </si>
  <si>
    <t>平台实践：在PX4 SITL复现最差风扰工况</t>
  </si>
  <si>
    <t>验证：分析性能下降来自估计、制导还是控制</t>
  </si>
  <si>
    <t>周成果：输出风扰鲁棒性对比图</t>
  </si>
  <si>
    <t>周复盘：检查“风扰鲁棒性测试”完成情况，整理笔记与代码，填写周复盘并为下周预留调整空间</t>
  </si>
  <si>
    <t>质量与气动参数摄动</t>
  </si>
  <si>
    <t>理论：选择质量、惯量、升阻和控制效率摄动范围</t>
  </si>
  <si>
    <t>仿真/数据：运行单因素和组合摄动试验</t>
  </si>
  <si>
    <t>编程：为配置生成和结果汇总增加版本标识</t>
  </si>
  <si>
    <t>平台实践：修改仿真机型参数并保持其他条件一致</t>
  </si>
  <si>
    <t>验证：定位最敏感参数并解释机理</t>
  </si>
  <si>
    <t>周成果：完成参数敏感性排序</t>
  </si>
  <si>
    <t>周复盘：检查“质量与气动参数摄动”完成情况，整理笔记与代码，填写周复盘并为下周预留调整空间</t>
  </si>
  <si>
    <t>噪声、偏置与延迟</t>
  </si>
  <si>
    <t>理论：复习噪声、零偏、滤波、延迟和采样不同步</t>
  </si>
  <si>
    <t>仿真/数据：注入IMU/GNSS噪声、偏置和延迟</t>
  </si>
  <si>
    <t>编程：增加输入有效性与超时保护</t>
  </si>
  <si>
    <t>平台实践：观察估计输出和控制输出的相互影响</t>
  </si>
  <si>
    <t>验证：扫描延迟直到出现明显性能退化</t>
  </si>
  <si>
    <t>周成果：输出可接受噪声/延迟边界</t>
  </si>
  <si>
    <t>周复盘：检查“噪声、偏置与延迟”完成情况，整理笔记与代码，填写周复盘并为下周预留调整空间</t>
  </si>
  <si>
    <t>饱和、速率限制与故障</t>
  </si>
  <si>
    <t>理论：明确舵面角度、速率、油门和控制量约束</t>
  </si>
  <si>
    <t>仿真/数据：测试饱和、限速、控制效率下降和短时卡舵</t>
  </si>
  <si>
    <t>编程：完善anti-windup和故障状态处理</t>
  </si>
  <si>
    <t>平台实践：在SITL触发执行器异常并验证回退</t>
  </si>
  <si>
    <t>验证：检查恢复后的积分状态和瞬态</t>
  </si>
  <si>
    <t>周成果：形成执行器约束测试报告</t>
  </si>
  <si>
    <t>周复盘：检查“饱和、速率限制与故障”完成情况，整理笔记与代码，填写周复盘并为下周预留调整空间</t>
  </si>
  <si>
    <t>自动化回归与Monte Carlo</t>
  </si>
  <si>
    <t>理论：确定随机变量、样本数、通过阈值和失败分类</t>
  </si>
  <si>
    <t>仿真/数据：批量运行不少于50组试验</t>
  </si>
  <si>
    <t>编程：生成机器可读汇总和失败日志索引</t>
  </si>
  <si>
    <t>平台实践：将关键SITL场景纳入回归</t>
  </si>
  <si>
    <t>验证：复跑失败样本并确认可复现</t>
  </si>
  <si>
    <t>周成果：发布自动化测试工具v0.3</t>
  </si>
  <si>
    <t>周复盘：检查“自动化回归与Monte Carlo”完成情况，整理笔记与代码，填写周复盘并为下周预留调整空间</t>
  </si>
  <si>
    <t>算法对比与统计结论</t>
  </si>
  <si>
    <t>理论：统一初始条件、参数预算、指标和统计方法</t>
  </si>
  <si>
    <t>仿真/数据：生成RMSE、超调、控制努力、约束违反和耗时对比</t>
  </si>
  <si>
    <t>编程：检查数据处理代码并固定版本</t>
  </si>
  <si>
    <t>平台实践：复现最有代表性的三组SITL结果</t>
  </si>
  <si>
    <t>验证：识别新算法优势、代价和不适用条件</t>
  </si>
  <si>
    <t>周成果：完成可直接用于论文/面试的结果表</t>
  </si>
  <si>
    <t>周复盘：检查“算法对比与统计结论”完成情况，整理笔记与代码，填写周复盘并为下周预留调整空间</t>
  </si>
  <si>
    <t>阶段三综合验收</t>
  </si>
  <si>
    <t>理论：复盘问题、理论、实现、试验和结论</t>
  </si>
  <si>
    <t>仿真/数据：重跑关键实验并自动生成图表</t>
  </si>
  <si>
    <t>编程：整理代码、配置、测试与变更记录</t>
  </si>
  <si>
    <t>平台实践：录制从启动到结果分析的端到端演示</t>
  </si>
  <si>
    <t>验证：让同学复现并记录全部阻塞点</t>
  </si>
  <si>
    <t>周成果：完成阶段三报告和项目v1.0</t>
  </si>
  <si>
    <t>周复盘：检查“阶段三综合验收”完成情况，整理笔记与代码，填写周复盘并为下周预留调整空间</t>
  </si>
  <si>
    <t>HIL方案与硬件安全</t>
  </si>
  <si>
    <t>理论：梳理飞控板、传感器、供电、接口和仿真闭环</t>
  </si>
  <si>
    <t>仿真/数据：绘制HIL信号链和故障隔离方案</t>
  </si>
  <si>
    <t>编程：准备参数备份、刷写和恢复流程</t>
  </si>
  <si>
    <t>平台实践：根据现有硬件完成连接检查；无硬件则建立HIL清单</t>
  </si>
  <si>
    <t>验证：逐项检查供电、舵机方向、限位和失联保护</t>
  </si>
  <si>
    <t>周成果：输出HIL接线图与安全检查表</t>
  </si>
  <si>
    <t>周复盘：检查“HIL方案与硬件安全”完成情况，整理笔记与代码，填写周复盘并为下周预留调整空间</t>
  </si>
  <si>
    <t>HIL闭环验证</t>
  </si>
  <si>
    <t>理论：明确实时性、接口延迟和验收指标</t>
  </si>
  <si>
    <t>仿真/数据：记录HIL时序、延迟和控制性能</t>
  </si>
  <si>
    <t>编程：修复通信超时、频率或数据类型问题</t>
  </si>
  <si>
    <t>平台实践：运行标称与两类扰动HIL；无硬件则做实时SITL替代</t>
  </si>
  <si>
    <t>验证：与SIL结果对齐并解释差异</t>
  </si>
  <si>
    <t>周成果：形成SIL/HIL对比报告</t>
  </si>
  <si>
    <t>周复盘：检查“HIL闭环验证”完成情况，整理笔记与代码，填写周复盘并为下周预留调整空间</t>
  </si>
  <si>
    <t>地面测试与试飞清单</t>
  </si>
  <si>
    <t>理论：学习风险评估、放飞条件、中止条件和人员分工</t>
  </si>
  <si>
    <t>仿真/数据：制作传感器、舵面、遥控、数传和模式检查表</t>
  </si>
  <si>
    <t>编程：编写日志自动检查脚本</t>
  </si>
  <si>
    <t>平台实践：在真实平台完成不装桨/不放飞地面测试</t>
  </si>
  <si>
    <t>验证：模拟一项故障并演练中止流程</t>
  </si>
  <si>
    <t>周成果：冻结试飞清单与Go/No-Go标准</t>
  </si>
  <si>
    <t>周复盘：检查“地面测试与试飞清单”完成情况，整理笔记与代码，填写周复盘并为下周预留调整空间</t>
  </si>
  <si>
    <t>试飞方案与数据设计</t>
  </si>
  <si>
    <t>理论：设计递进试飞科目、空域、天气和应急预案</t>
  </si>
  <si>
    <t>仿真/数据：为每个科目定义输入、时长、指标和停止条件</t>
  </si>
  <si>
    <t>编程：准备参数版本、日志命名和现场记录模板</t>
  </si>
  <si>
    <t>平台实践：进行仿真预演并验证每个科目</t>
  </si>
  <si>
    <t>验证：评审最坏情况和人工接管路径</t>
  </si>
  <si>
    <t>周成果：输出试飞卡和数据记录表</t>
  </si>
  <si>
    <t>周复盘：检查“试飞方案与数据设计”完成情况，整理笔记与代码，填写周复盘并为下周预留调整空间</t>
  </si>
  <si>
    <t>实飞/替代验证与复盘</t>
  </si>
  <si>
    <t>理论：复核安全条件和数据完整性要求</t>
  </si>
  <si>
    <t>仿真/数据：按科目执行并当日备份、整理日志</t>
  </si>
  <si>
    <t>编程：修复分析脚本对真实数据的兼容问题</t>
  </si>
  <si>
    <t>平台实践：比较实飞、HIL和SIL；无法实飞则扩大HIL/SITL证据</t>
  </si>
  <si>
    <t>验证：逐条解释异常和未达标项</t>
  </si>
  <si>
    <t>周成果：形成验证结论与下一轮改进清单</t>
  </si>
  <si>
    <t>周复盘：检查“实飞/替代验证与复盘”完成情况，整理笔记与代码，填写周复盘并为下周预留调整空间</t>
  </si>
  <si>
    <t>实时性能与工程优化</t>
  </si>
  <si>
    <t>理论：学习周期、抖动、栈/堆、日志开销和最坏执行时间</t>
  </si>
  <si>
    <t>仿真/数据：统计模块运行时间和频率分布</t>
  </si>
  <si>
    <t>编程：消除不必要分配、重复计算和高开销日志</t>
  </si>
  <si>
    <t>平台实践：在目标飞控或SITL上进行前后对比</t>
  </si>
  <si>
    <t>验证：压力测试并确认优化未改变控制结果</t>
  </si>
  <si>
    <t>周成果：输出性能剖析与优化记录</t>
  </si>
  <si>
    <t>周复盘：检查“实时性能与工程优化”完成情况，整理笔记与代码，填写周复盘并为下周预留调整空间</t>
  </si>
  <si>
    <t>代码质量、测试与文档</t>
  </si>
  <si>
    <t>理论：复习接口、命名、错误处理、测试金字塔和文档结构</t>
  </si>
  <si>
    <t>仿真/数据：补齐配置说明、实验入口和结果解释</t>
  </si>
  <si>
    <t>编程：增加单元测试、回归测试和格式检查</t>
  </si>
  <si>
    <t>平台实践：在干净环境重新构建PX4项目</t>
  </si>
  <si>
    <t>验证：请同学按文档从零运行一次</t>
  </si>
  <si>
    <t>周成果：发布工程质量版v1.1</t>
  </si>
  <si>
    <t>周复盘：检查“代码质量、测试与文档”完成情况，整理笔记与代码，填写周复盘并为下周预留调整空间</t>
  </si>
  <si>
    <t>脱敏公开仓库与作品集</t>
  </si>
  <si>
    <t>理论：区分可公开代码、内部参数、实飞数据和保密内容</t>
  </si>
  <si>
    <t>仿真/数据：用公开模型重建可展示案例</t>
  </si>
  <si>
    <t>编程：清理历史、密钥、路径和内部标识</t>
  </si>
  <si>
    <t>平台实践：制作仓库首页、结构图、运行步骤和结果图</t>
  </si>
  <si>
    <t>验证：使用敏感信息清单逐项检查</t>
  </si>
  <si>
    <t>周成果：发布脱敏作品集仓库或离线作品包</t>
  </si>
  <si>
    <t>周复盘：检查“脱敏公开仓库与作品集”完成情况，整理笔记与代码，填写周复盘并为下周预留调整空间</t>
  </si>
  <si>
    <t>技术报告与演示视频</t>
  </si>
  <si>
    <t>理论：设计问题—方法—实现—实验—结论叙事</t>
  </si>
  <si>
    <t>仿真/数据：制作不超过10页的项目技术简报</t>
  </si>
  <si>
    <t>编程：录制3分钟演示并添加必要字幕/图表</t>
  </si>
  <si>
    <t>平台实践：展示SITL/HIL/实飞和日志分析链路</t>
  </si>
  <si>
    <t>验证：找非本课题同学观看并复述要点</t>
  </si>
  <si>
    <t>周成果：定稿简报、视频和项目摘要</t>
  </si>
  <si>
    <t>周复盘：检查“技术报告与演示视频”完成情况，整理笔记与代码，填写周复盘并为下周预留调整空间</t>
  </si>
  <si>
    <t>简历与STAR项目表达</t>
  </si>
  <si>
    <t>理论：收集目标岗位JD并提取高频技能</t>
  </si>
  <si>
    <t>仿真/数据：为课题和项目各写3条量化经历</t>
  </si>
  <si>
    <t>编程：准备代码贡献、故障定位和权衡决策案例</t>
  </si>
  <si>
    <t>平台实践：把PX4、C++、控制和验证证据对应到JD</t>
  </si>
  <si>
    <t>验证：逐句检查是否能提供证据且不夸大</t>
  </si>
  <si>
    <t>周成果：完成飞控版和机器人控制版两份简历</t>
  </si>
  <si>
    <t>周复盘：检查“简历与STAR项目表达”完成情况，整理笔记与代码，填写周复盘并为下周预留调整空间</t>
  </si>
  <si>
    <t>控制/C++技术面试</t>
  </si>
  <si>
    <t>理论：复习控制、动力学、估计、C++、操作系统和项目问题</t>
  </si>
  <si>
    <t>仿真/数据：每天口述2题并手写1个推导/代码题</t>
  </si>
  <si>
    <t>编程：整理20道C++与调试高频题并实际运行代码</t>
  </si>
  <si>
    <t>平台实践：从PX4项目准备10个源码追问</t>
  </si>
  <si>
    <t>验证：完成一次60分钟模拟技术面试</t>
  </si>
  <si>
    <t>周成果：形成错题本和二轮复习清单</t>
  </si>
  <si>
    <t>周复盘：检查“控制/C++技术面试”完成情况，整理笔记与代码，填写周复盘并为下周预留调整空间</t>
  </si>
  <si>
    <t>岗位清单、投递与模拟面试</t>
  </si>
  <si>
    <t>理论：收集不少于40个飞控/机器人/无人系统岗位</t>
  </si>
  <si>
    <t>仿真/数据：按匹配度、城市、业务和风险分为A/B/C档</t>
  </si>
  <si>
    <t>编程：制作投递记录和面试反馈表</t>
  </si>
  <si>
    <t>平台实践：针对5个重点JD调整项目关键词</t>
  </si>
  <si>
    <t>验证：完成2次模拟面试并复盘表达漏洞</t>
  </si>
  <si>
    <t>周成果：形成目标岗位库和首批投递材料</t>
  </si>
  <si>
    <t>周复盘：检查“岗位清单、投递与模拟面试”完成情况，整理笔记与代码，填写周复盘并为下周预留调整空间</t>
  </si>
  <si>
    <t>全年验收与下一阶段</t>
  </si>
  <si>
    <t>理论：对照能力地图进行最终自评和证据核验</t>
  </si>
  <si>
    <t>仿真/数据：汇总全年时长、完成率、项目指标和薄弱项</t>
  </si>
  <si>
    <t>编程：打标签发布代码/报告最终版本并完整备份</t>
  </si>
  <si>
    <t>平台实践：重新跑通关键演示，确认链接和材料有效</t>
  </si>
  <si>
    <t>验证：邀请导师/同学做一次终审</t>
  </si>
  <si>
    <t>周成果：形成《全年总结与未来90天计划》</t>
  </si>
  <si>
    <t>周复盘：检查“全年验收与下一阶段”完成情况，整理笔记与代码，填写周复盘并为下周预留调整空间</t>
  </si>
  <si>
    <t>52周复盘
周日填写自评分、主要问题和下周调整；统计列由公式自动计算</t>
  </si>
  <si>
    <t>开始日期</t>
  </si>
  <si>
    <t>结束日期</t>
  </si>
  <si>
    <t>周目标</t>
  </si>
  <si>
    <t>完成任务</t>
  </si>
  <si>
    <t>总任务</t>
  </si>
  <si>
    <t>自评(1-5)</t>
  </si>
  <si>
    <t>问题与下周调整</t>
  </si>
  <si>
    <t>完成能力自评，搭建Ubuntu/WSL、VS Code、Git、MATLAB/Python环境</t>
  </si>
  <si>
    <t>掌握日常开发命令和可追溯的版本管理流程</t>
  </si>
  <si>
    <t>能够用C++完成小型数值计算程序</t>
  </si>
  <si>
    <t>理解RAII、智能指针、移动语义和接口设计</t>
  </si>
  <si>
    <t>能够构建、调试并测试多文件C++项目</t>
  </si>
  <si>
    <t>掌握固定翼建模所需坐标变换和姿态数学</t>
  </si>
  <si>
    <t>独立写出并仿真刚体六自由度方程</t>
  </si>
  <si>
    <t>理解固定翼力矩来源和主要气动参数</t>
  </si>
  <si>
    <t>完成一个巡航工作点的配平和小扰动模型</t>
  </si>
  <si>
    <t>能解释固定翼纵向和横侧向主要模态</t>
  </si>
  <si>
    <t>实现并调通姿态/角速度串级控制基线</t>
  </si>
  <si>
    <t>实现LQR并理解控制与估计的接口</t>
  </si>
  <si>
    <t>把模型、基线控制器和工程工具串成可复现实验</t>
  </si>
  <si>
    <t>独立启动固定翼SITL并完成航线飞行</t>
  </si>
  <si>
    <t>能追踪一条传感器到执行器的数据链</t>
  </si>
  <si>
    <t>读懂内环主要计算和限幅逻辑</t>
  </si>
  <si>
    <t>理解航迹、航向、滚转指令之间的关系</t>
  </si>
  <si>
    <t>理解高度、空速、油门和俯仰的耦合</t>
  </si>
  <si>
    <t>理解控制指令如何变为舵面与油门输出</t>
  </si>
  <si>
    <t>能够解释常用模式切换和安全逻辑</t>
  </si>
  <si>
    <t>能够创建任务并获取遥测数据</t>
  </si>
  <si>
    <t>建立可重复使用的ULog分析流程</t>
  </si>
  <si>
    <t>建立有统计意义的鲁棒性试验</t>
  </si>
  <si>
    <t>能从数据估计简化模型参数并验证</t>
  </si>
  <si>
    <t>获得后续算法对比所需的稳定基线</t>
  </si>
  <si>
    <t>完成PX4固定翼控制链路的闭环解释与复现</t>
  </si>
  <si>
    <t>把课题语言转成企业可理解的控制问题</t>
  </si>
  <si>
    <t>完成核心稳定性论证并识别工程假设</t>
  </si>
  <si>
    <t>将连续控制律变成数值稳定的离散实现</t>
  </si>
  <si>
    <t>让基线和新算法在同一接口下可切换</t>
  </si>
  <si>
    <t>使新控制器在PX4 SITL稳定运行</t>
  </si>
  <si>
    <t>在标称工况达到稳定、可重复的性能</t>
  </si>
  <si>
    <t>量化不同风扰下的跟踪和控制代价</t>
  </si>
  <si>
    <t>验证模型不确定性下的性能边界</t>
  </si>
  <si>
    <t>验证传感器非理想因素下的稳定性</t>
  </si>
  <si>
    <t>控制器在执行器约束下不发散且可恢复</t>
  </si>
  <si>
    <t>形成一键运行、自动判定的回归测试集</t>
  </si>
  <si>
    <t>公平比较新算法与PID/LQR/PX4基线</t>
  </si>
  <si>
    <t>形成完整的控制算法部署证据链</t>
  </si>
  <si>
    <t>设计可执行的HIL方案和安全边界</t>
  </si>
  <si>
    <t>完成HIL或等价的实时仿真验证</t>
  </si>
  <si>
    <t>建立可复用的上电到起飞前检查流程</t>
  </si>
  <si>
    <t>用最少风险获得能验证结论的数据</t>
  </si>
  <si>
    <t>完成实飞验证；条件不足时完成高质量替代验证</t>
  </si>
  <si>
    <t>量化控制器计算开销并完成必要优化</t>
  </si>
  <si>
    <t>让项目达到他人可读、可编译、可复现</t>
  </si>
  <si>
    <t>在不泄露课题组信息的前提下展示能力</t>
  </si>
  <si>
    <t>让招聘者5分钟内理解项目价值</t>
  </si>
  <si>
    <t>把研究经历转成量化、可追问的简历内容</t>
  </si>
  <si>
    <t>建立核心知识题库并能口头推导</t>
  </si>
  <si>
    <t>建立有优先级的目标公司与岗位管线</t>
  </si>
  <si>
    <t>完成成果归档并制定秋招前滚动计划</t>
  </si>
  <si>
    <t>能力地图
每月最后一个周日更新当前等级；所有等级都要用作品、代码、报告或实飞数据证明</t>
  </si>
  <si>
    <t>能力模块</t>
  </si>
  <si>
    <t>当前自评(1-5)</t>
  </si>
  <si>
    <t>一年目标</t>
  </si>
  <si>
    <t>达标证据</t>
  </si>
  <si>
    <t>第1阶段</t>
  </si>
  <si>
    <t>第2阶段</t>
  </si>
  <si>
    <t>第3阶段</t>
  </si>
  <si>
    <t>第4阶段</t>
  </si>
  <si>
    <t>C++工程能力</t>
  </si>
  <si>
    <t>能阅读/修改PX4模块；有CMake、测试、调试记录</t>
  </si>
  <si>
    <t>语法/STL/RAII</t>
  </si>
  <si>
    <t>PX4模块与日志工具</t>
  </si>
  <si>
    <t>实时控制器接口</t>
  </si>
  <si>
    <t>测试、优化与文档</t>
  </si>
  <si>
    <t>Linux/Git/CMake</t>
  </si>
  <si>
    <t>干净环境一键构建；提交历史清晰；能定位构建问题</t>
  </si>
  <si>
    <t>工具链熟练</t>
  </si>
  <si>
    <t>PX4构建</t>
  </si>
  <si>
    <t>自动化试验</t>
  </si>
  <si>
    <t>可复现作品集</t>
  </si>
  <si>
    <t>固定翼动力学</t>
  </si>
  <si>
    <t>六自由度模型、配平线性化、模态分析报告</t>
  </si>
  <si>
    <t>完整建模</t>
  </si>
  <si>
    <t>联系PX4控制链</t>
  </si>
  <si>
    <t>解释摄动结果</t>
  </si>
  <si>
    <t>面试口头推导</t>
  </si>
  <si>
    <t>控制理论与设计</t>
  </si>
  <si>
    <t>PID/LQR/约束控制对比和稳定性说明</t>
  </si>
  <si>
    <t>基线控制器</t>
  </si>
  <si>
    <t>工程基线</t>
  </si>
  <si>
    <t>新算法部署</t>
  </si>
  <si>
    <t>面试与技术报告</t>
  </si>
  <si>
    <t>PX4固定翼</t>
  </si>
  <si>
    <t>SITL→源码→模块修改→日志→HIL/实飞闭环</t>
  </si>
  <si>
    <t>跑通SITL</t>
  </si>
  <si>
    <t>读懂控制栈</t>
  </si>
  <si>
    <t>集成新控制器</t>
  </si>
  <si>
    <t>HIL/实飞与作品集</t>
  </si>
  <si>
    <t>MATLAB/Python分析</t>
  </si>
  <si>
    <t>批量仿真、ULog分析、Monte Carlo自动报告</t>
  </si>
  <si>
    <t>建模与绘图</t>
  </si>
  <si>
    <t>日志分析工具</t>
  </si>
  <si>
    <t>自动化回归</t>
  </si>
  <si>
    <t>成果汇总</t>
  </si>
  <si>
    <t>状态估计/系统辨识</t>
  </si>
  <si>
    <t>能解释EKF接口；完成一次数据辨识与验证</t>
  </si>
  <si>
    <t>观测器基础</t>
  </si>
  <si>
    <t>辨识实践</t>
  </si>
  <si>
    <t>噪声/延迟分析</t>
  </si>
  <si>
    <t>面试复习</t>
  </si>
  <si>
    <t>HIL/实飞与安全</t>
  </si>
  <si>
    <t>检查表、试飞卡、日志及SIL/HIL/实飞对比</t>
  </si>
  <si>
    <t>安全意识</t>
  </si>
  <si>
    <t>失效仿真</t>
  </si>
  <si>
    <t>回退机制</t>
  </si>
  <si>
    <t>HIL/实飞验证</t>
  </si>
  <si>
    <t>技术表达与求职</t>
  </si>
  <si>
    <t>两版简历、10页简报、3分钟视频、面试题库</t>
  </si>
  <si>
    <t>方向与记录</t>
  </si>
  <si>
    <t>阶段报告</t>
  </si>
  <si>
    <t>项目结论</t>
  </si>
  <si>
    <t>完整投递材料</t>
  </si>
  <si>
    <t>等级说明</t>
  </si>
  <si>
    <t>1 入门</t>
  </si>
  <si>
    <t>知道概念，需跟随教程</t>
  </si>
  <si>
    <t>2 基础</t>
  </si>
  <si>
    <t>能独立完成小练习</t>
  </si>
  <si>
    <t>3 可用</t>
  </si>
  <si>
    <t>能完成项目子任务</t>
  </si>
  <si>
    <t>4 求职</t>
  </si>
  <si>
    <t>能独立交付并接受深挖</t>
  </si>
  <si>
    <t>5 深入</t>
  </si>
  <si>
    <t>能设计方案、解释权衡并指导他人</t>
  </si>
  <si>
    <t>更新原则</t>
  </si>
  <si>
    <t>没有代码、报告、日志或实验数据支撑时，不提高自评分。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</si>
</sst>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29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color rgb="FF25313C"/>
      <name val="Microsoft YaHei"/>
      <charset val="134"/>
    </font>
    <font>
      <b/>
      <sz val="18"/>
      <color rgb="FFFFFFFF"/>
      <name val="Microsoft YaHei"/>
      <charset val="134"/>
    </font>
    <font>
      <sz val="1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25313C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147D7E"/>
        <bgColor indexed="64"/>
      </patternFill>
    </fill>
    <fill>
      <patternFill patternType="solid">
        <fgColor rgb="FFFFF4DE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E7F3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6DEE5"/>
      </bottom>
      <diagonal/>
    </border>
    <border>
      <left/>
      <right/>
      <top style="thin">
        <color rgb="FFD6DEE5"/>
      </top>
      <bottom style="thin">
        <color rgb="FFD6DEE5"/>
      </bottom>
      <diagonal/>
    </border>
    <border>
      <left/>
      <right/>
      <top style="thin">
        <color rgb="FFD6DEE5"/>
      </top>
      <bottom/>
      <diagonal/>
    </border>
    <border>
      <left/>
      <right style="thin">
        <color rgb="FFD6DEE5"/>
      </right>
      <top/>
      <bottom style="thin">
        <color rgb="FFD6DEE5"/>
      </bottom>
      <diagonal/>
    </border>
    <border>
      <left style="thin">
        <color rgb="FFD6DEE5"/>
      </left>
      <right style="thin">
        <color rgb="FFD6DEE5"/>
      </right>
      <top/>
      <bottom style="thin">
        <color rgb="FFD6DEE5"/>
      </bottom>
      <diagonal/>
    </border>
    <border>
      <left style="thin">
        <color rgb="FFD6DEE5"/>
      </left>
      <right/>
      <top/>
      <bottom style="thin">
        <color rgb="FFD6DEE5"/>
      </bottom>
      <diagonal/>
    </border>
    <border>
      <left/>
      <right style="thin">
        <color rgb="FFD6DEE5"/>
      </right>
      <top style="thin">
        <color rgb="FFD6DEE5"/>
      </top>
      <bottom style="thin">
        <color rgb="FFD6DEE5"/>
      </bottom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  <border>
      <left style="thin">
        <color rgb="FFD6DEE5"/>
      </left>
      <right/>
      <top style="thin">
        <color rgb="FFD6DEE5"/>
      </top>
      <bottom style="thin">
        <color rgb="FFD6DEE5"/>
      </bottom>
      <diagonal/>
    </border>
    <border>
      <left/>
      <right style="thin">
        <color rgb="FFD6DEE5"/>
      </right>
      <top style="thin">
        <color rgb="FFD6DEE5"/>
      </top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/>
      <diagonal/>
    </border>
    <border>
      <left style="thin">
        <color rgb="FFD6DEE5"/>
      </left>
      <right/>
      <top style="thin">
        <color rgb="FFD6DE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/>
  </cellStyleXfs>
  <cellXfs count="58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3" fillId="0" borderId="1" xfId="49" applyNumberFormat="1" applyFont="1" applyFill="1" applyBorder="1" applyAlignment="1">
      <alignment vertical="center" wrapText="1"/>
    </xf>
    <xf numFmtId="1" fontId="3" fillId="4" borderId="1" xfId="49" applyNumberFormat="1" applyFont="1" applyFill="1" applyBorder="1" applyAlignment="1">
      <alignment vertical="center" wrapText="1"/>
    </xf>
    <xf numFmtId="1" fontId="3" fillId="0" borderId="1" xfId="49" applyNumberFormat="1" applyFont="1" applyFill="1" applyBorder="1" applyAlignment="1">
      <alignment vertical="center" wrapText="1"/>
    </xf>
    <xf numFmtId="0" fontId="3" fillId="0" borderId="2" xfId="49" applyNumberFormat="1" applyFont="1" applyFill="1" applyBorder="1" applyAlignment="1">
      <alignment vertical="center" wrapText="1"/>
    </xf>
    <xf numFmtId="1" fontId="3" fillId="4" borderId="2" xfId="49" applyNumberFormat="1" applyFont="1" applyFill="1" applyBorder="1" applyAlignment="1">
      <alignment vertical="center" wrapText="1"/>
    </xf>
    <xf numFmtId="1" fontId="3" fillId="0" borderId="2" xfId="49" applyNumberFormat="1" applyFont="1" applyFill="1" applyBorder="1" applyAlignment="1">
      <alignment vertical="center" wrapText="1"/>
    </xf>
    <xf numFmtId="0" fontId="3" fillId="0" borderId="3" xfId="49" applyNumberFormat="1" applyFont="1" applyFill="1" applyBorder="1" applyAlignment="1">
      <alignment vertical="center" wrapText="1"/>
    </xf>
    <xf numFmtId="1" fontId="3" fillId="4" borderId="3" xfId="49" applyNumberFormat="1" applyFont="1" applyFill="1" applyBorder="1" applyAlignment="1">
      <alignment vertical="center" wrapText="1"/>
    </xf>
    <xf numFmtId="1" fontId="3" fillId="0" borderId="3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center" wrapText="1"/>
    </xf>
    <xf numFmtId="176" fontId="3" fillId="0" borderId="1" xfId="49" applyNumberFormat="1" applyFont="1" applyFill="1" applyBorder="1" applyAlignment="1">
      <alignment vertical="center" wrapText="1"/>
    </xf>
    <xf numFmtId="177" fontId="3" fillId="0" borderId="1" xfId="49" applyNumberFormat="1" applyFont="1" applyFill="1" applyBorder="1" applyAlignment="1">
      <alignment vertical="center" wrapText="1"/>
    </xf>
    <xf numFmtId="9" fontId="3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vertical="center" wrapText="1"/>
    </xf>
    <xf numFmtId="176" fontId="3" fillId="0" borderId="2" xfId="49" applyNumberFormat="1" applyFont="1" applyFill="1" applyBorder="1" applyAlignment="1">
      <alignment vertical="center" wrapText="1"/>
    </xf>
    <xf numFmtId="177" fontId="3" fillId="0" borderId="2" xfId="49" applyNumberFormat="1" applyFont="1" applyFill="1" applyBorder="1" applyAlignment="1">
      <alignment vertical="center" wrapText="1"/>
    </xf>
    <xf numFmtId="9" fontId="3" fillId="0" borderId="2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vertical="center" wrapText="1"/>
    </xf>
    <xf numFmtId="176" fontId="3" fillId="0" borderId="3" xfId="49" applyNumberFormat="1" applyFont="1" applyFill="1" applyBorder="1" applyAlignment="1">
      <alignment vertical="center" wrapText="1"/>
    </xf>
    <xf numFmtId="177" fontId="3" fillId="0" borderId="3" xfId="49" applyNumberFormat="1" applyFont="1" applyFill="1" applyBorder="1" applyAlignment="1">
      <alignment vertical="center" wrapText="1"/>
    </xf>
    <xf numFmtId="9" fontId="3" fillId="0" borderId="3" xfId="49" applyNumberFormat="1" applyFont="1" applyFill="1" applyBorder="1" applyAlignment="1">
      <alignment vertical="center" wrapText="1"/>
    </xf>
    <xf numFmtId="0" fontId="3" fillId="4" borderId="3" xfId="49" applyNumberFormat="1" applyFont="1" applyFill="1" applyBorder="1" applyAlignment="1">
      <alignment vertical="center" wrapText="1"/>
    </xf>
    <xf numFmtId="177" fontId="3" fillId="4" borderId="1" xfId="49" applyNumberFormat="1" applyFont="1" applyFill="1" applyBorder="1" applyAlignment="1">
      <alignment vertical="center" wrapText="1"/>
    </xf>
    <xf numFmtId="177" fontId="3" fillId="4" borderId="2" xfId="49" applyNumberFormat="1" applyFont="1" applyFill="1" applyBorder="1" applyAlignment="1">
      <alignment vertical="center" wrapText="1"/>
    </xf>
    <xf numFmtId="177" fontId="3" fillId="4" borderId="3" xfId="49" applyNumberFormat="1" applyFont="1" applyFill="1" applyBorder="1" applyAlignment="1">
      <alignment vertical="center" wrapText="1"/>
    </xf>
    <xf numFmtId="0" fontId="4" fillId="2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/>
    <xf numFmtId="0" fontId="6" fillId="3" borderId="4" xfId="49" applyNumberFormat="1" applyFont="1" applyFill="1" applyBorder="1" applyAlignment="1">
      <alignment vertical="center"/>
    </xf>
    <xf numFmtId="0" fontId="6" fillId="3" borderId="5" xfId="49" applyNumberFormat="1" applyFont="1" applyFill="1" applyBorder="1" applyAlignment="1">
      <alignment vertical="center"/>
    </xf>
    <xf numFmtId="0" fontId="5" fillId="0" borderId="5" xfId="49" applyNumberFormat="1" applyFont="1" applyFill="1" applyBorder="1"/>
    <xf numFmtId="0" fontId="5" fillId="0" borderId="6" xfId="49" applyNumberFormat="1" applyFont="1" applyFill="1" applyBorder="1"/>
    <xf numFmtId="0" fontId="5" fillId="0" borderId="7" xfId="49" applyNumberFormat="1" applyFont="1" applyFill="1" applyBorder="1"/>
    <xf numFmtId="0" fontId="5" fillId="0" borderId="8" xfId="49" applyNumberFormat="1" applyFont="1" applyFill="1" applyBorder="1"/>
    <xf numFmtId="0" fontId="5" fillId="0" borderId="9" xfId="49" applyNumberFormat="1" applyFont="1" applyFill="1" applyBorder="1"/>
    <xf numFmtId="176" fontId="5" fillId="0" borderId="8" xfId="49" applyNumberFormat="1" applyFont="1" applyFill="1" applyBorder="1"/>
    <xf numFmtId="0" fontId="6" fillId="3" borderId="7" xfId="49" applyNumberFormat="1" applyFont="1" applyFill="1" applyBorder="1" applyAlignment="1">
      <alignment vertical="center"/>
    </xf>
    <xf numFmtId="0" fontId="6" fillId="3" borderId="8" xfId="49" applyNumberFormat="1" applyFont="1" applyFill="1" applyBorder="1" applyAlignment="1">
      <alignment vertical="center"/>
    </xf>
    <xf numFmtId="0" fontId="6" fillId="3" borderId="9" xfId="49" applyNumberFormat="1" applyFont="1" applyFill="1" applyBorder="1" applyAlignment="1">
      <alignment vertical="center"/>
    </xf>
    <xf numFmtId="0" fontId="5" fillId="6" borderId="7" xfId="49" applyNumberFormat="1" applyFont="1" applyFill="1" applyBorder="1" applyAlignment="1">
      <alignment vertical="center" wrapText="1"/>
    </xf>
    <xf numFmtId="176" fontId="5" fillId="6" borderId="8" xfId="49" applyNumberFormat="1" applyFont="1" applyFill="1" applyBorder="1" applyAlignment="1">
      <alignment vertical="center" wrapText="1"/>
    </xf>
    <xf numFmtId="0" fontId="5" fillId="6" borderId="8" xfId="49" applyNumberFormat="1" applyFont="1" applyFill="1" applyBorder="1" applyAlignment="1">
      <alignment vertical="center" wrapText="1"/>
    </xf>
    <xf numFmtId="177" fontId="5" fillId="6" borderId="8" xfId="49" applyNumberFormat="1" applyFont="1" applyFill="1" applyBorder="1" applyAlignment="1">
      <alignment vertical="center" wrapText="1"/>
    </xf>
    <xf numFmtId="0" fontId="5" fillId="6" borderId="9" xfId="49" applyNumberFormat="1" applyFont="1" applyFill="1" applyBorder="1" applyAlignment="1">
      <alignment vertical="center" wrapText="1"/>
    </xf>
    <xf numFmtId="0" fontId="7" fillId="7" borderId="7" xfId="49" applyNumberFormat="1" applyFont="1" applyFill="1" applyBorder="1" applyAlignment="1">
      <alignment vertical="center"/>
    </xf>
    <xf numFmtId="0" fontId="7" fillId="7" borderId="8" xfId="49" applyNumberFormat="1" applyFont="1" applyFill="1" applyBorder="1" applyAlignment="1">
      <alignment vertical="center"/>
    </xf>
    <xf numFmtId="9" fontId="7" fillId="7" borderId="8" xfId="49" applyNumberFormat="1" applyFont="1" applyFill="1" applyBorder="1" applyAlignment="1">
      <alignment vertical="center"/>
    </xf>
    <xf numFmtId="177" fontId="7" fillId="7" borderId="8" xfId="49" applyNumberFormat="1" applyFont="1" applyFill="1" applyBorder="1" applyAlignment="1">
      <alignment vertical="center"/>
    </xf>
    <xf numFmtId="0" fontId="7" fillId="7" borderId="9" xfId="49" applyNumberFormat="1" applyFont="1" applyFill="1" applyBorder="1" applyAlignment="1">
      <alignment vertical="center"/>
    </xf>
    <xf numFmtId="177" fontId="5" fillId="0" borderId="8" xfId="49" applyNumberFormat="1" applyFont="1" applyFill="1" applyBorder="1"/>
    <xf numFmtId="0" fontId="5" fillId="5" borderId="7" xfId="49" applyNumberFormat="1" applyFont="1" applyFill="1" applyBorder="1" applyAlignment="1">
      <alignment vertical="center" wrapText="1"/>
    </xf>
    <xf numFmtId="0" fontId="5" fillId="5" borderId="8" xfId="49" applyNumberFormat="1" applyFont="1" applyFill="1" applyBorder="1" applyAlignment="1">
      <alignment vertical="center" wrapText="1"/>
    </xf>
    <xf numFmtId="0" fontId="5" fillId="5" borderId="9" xfId="49" applyNumberFormat="1" applyFont="1" applyFill="1" applyBorder="1" applyAlignment="1">
      <alignment vertical="center" wrapText="1"/>
    </xf>
    <xf numFmtId="0" fontId="5" fillId="5" borderId="10" xfId="49" applyNumberFormat="1" applyFont="1" applyFill="1" applyBorder="1" applyAlignment="1">
      <alignment vertical="center" wrapText="1"/>
    </xf>
    <xf numFmtId="0" fontId="5" fillId="5" borderId="11" xfId="49" applyNumberFormat="1" applyFont="1" applyFill="1" applyBorder="1" applyAlignment="1">
      <alignment vertical="center" wrapText="1"/>
    </xf>
    <xf numFmtId="0" fontId="5" fillId="5" borderId="1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2E7D55"/>
      </font>
      <fill>
        <patternFill patternType="solid">
          <bgColor rgb="FFE9F4ED"/>
        </patternFill>
      </fill>
    </dxf>
    <dxf>
      <font>
        <b val="1"/>
        <color rgb="FF2F6B9A"/>
      </font>
      <fill>
        <patternFill patternType="solid">
          <bgColor rgb="FFEAF1F7"/>
        </patternFill>
      </fill>
    </dxf>
    <dxf>
      <font>
        <color rgb="FFB84C4C"/>
      </font>
      <fill>
        <patternFill patternType="solid">
          <bgColor rgb="FFFCE8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各阶段计划投入（小时）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"计划时长"</c:f>
              <c:strCache>
                <c:ptCount val="1"/>
                <c:pt idx="0">
                  <c:v>计划时长</c:v>
                </c:pt>
              </c:strCache>
            </c:strRef>
          </c:tx>
          <c:spPr>
            <a:solidFill>
              <a:srgbClr val="D7902F"/>
            </a:solidFill>
          </c:spPr>
          <c:invertIfNegative val="0"/>
          <c:dLbls>
            <c:delete val="1"/>
          </c:dLbls>
          <c:cat>
            <c:strRef>
              <c:f>总览!$A$21:$A$24</c:f>
              <c:strCache>
                <c:ptCount val="4"/>
                <c:pt idx="0">
                  <c:v>基础与工具</c:v>
                </c:pt>
                <c:pt idx="1">
                  <c:v>PX4与基线控制</c:v>
                </c:pt>
                <c:pt idx="2">
                  <c:v>算法部署与验证</c:v>
                </c:pt>
                <c:pt idx="3">
                  <c:v>工程验证与求职</c:v>
                </c:pt>
              </c:strCache>
            </c:strRef>
          </c:cat>
          <c:val>
            <c:numRef>
              <c:f>总览!$C$21:$C$24</c:f>
              <c:numCache>
                <c:formatCode>0.0</c:formatCode>
                <c:ptCount val="4"/>
                <c:pt idx="0">
                  <c:v>162.5</c:v>
                </c:pt>
                <c:pt idx="1">
                  <c:v>162.5</c:v>
                </c:pt>
                <c:pt idx="2">
                  <c:v>162.5</c:v>
                </c:pt>
                <c:pt idx="3">
                  <c:v>162.5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f8747c-ef38-4767-a974-59710f0b1c3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19</xdr:row>
      <xdr:rowOff>0</xdr:rowOff>
    </xdr:from>
    <xdr:to>
      <xdr:col>8</xdr:col>
      <xdr:colOff>0</xdr:colOff>
      <xdr:row>25</xdr:row>
      <xdr:rowOff>0</xdr:rowOff>
    </xdr:to>
    <xdr:graphicFrame>
      <xdr:nvGraphicFramePr>
        <xdr:cNvPr id="2" name="Chart"/>
        <xdr:cNvGraphicFramePr/>
      </xdr:nvGraphicFramePr>
      <xdr:xfrm>
        <a:off x="6276975" y="5568950"/>
        <a:ext cx="6096000" cy="1257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PlanTable" displayName="DailyPlanTable" ref="A3:L367" totalsRowShown="0">
  <autoFilter xmlns:etc="http://www.wps.cn/officeDocument/2017/etCustomData" ref="A3:L367" etc:filterBottomFollowUsedRange="0"/>
  <tableColumns count="12">
    <tableColumn id="1" name="日期"/>
    <tableColumn id="2" name="周次"/>
    <tableColumn id="3" name="阶段"/>
    <tableColumn id="4" name="星期"/>
    <tableColumn id="5" name="本周主题"/>
    <tableColumn id="6" name="当日任务"/>
    <tableColumn id="7" name="预期产出"/>
    <tableColumn id="8" name="计划时长(h)"/>
    <tableColumn id="9" name="实际时长(h)"/>
    <tableColumn id="10" name="状态"/>
    <tableColumn id="11" name="困难/复盘"/>
    <tableColumn id="12" name="成果链接/提交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ReviewTable" displayName="WeeklyReviewTable" ref="A3:M55" totalsRowShown="0">
  <tableColumns count="13">
    <tableColumn id="1" name="周次"/>
    <tableColumn id="2" name="开始日期"/>
    <tableColumn id="3" name="结束日期"/>
    <tableColumn id="4" name="阶段"/>
    <tableColumn id="5" name="本周主题"/>
    <tableColumn id="6" name="周目标"/>
    <tableColumn id="7" name="计划时长"/>
    <tableColumn id="8" name="实际时长"/>
    <tableColumn id="9" name="完成任务"/>
    <tableColumn id="10" name="总任务"/>
    <tableColumn id="11" name="完成率"/>
    <tableColumn id="12" name="自评(1-5)"/>
    <tableColumn id="13" name="问题与下周调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showGridLines="0" topLeftCell="A4" workbookViewId="0">
      <selection activeCell="D5" sqref="D5"/>
    </sheetView>
  </sheetViews>
  <sheetFormatPr defaultColWidth="9" defaultRowHeight="14.25" outlineLevelCol="7"/>
  <cols>
    <col min="1" max="1" width="20.375" customWidth="1"/>
    <col min="2" max="2" width="18" customWidth="1"/>
    <col min="3" max="4" width="12" customWidth="1"/>
    <col min="5" max="5" width="20" customWidth="1"/>
    <col min="6" max="6" width="52" customWidth="1"/>
    <col min="7" max="8" width="14" customWidth="1"/>
  </cols>
  <sheetData>
    <row r="1" ht="52" customHeight="1" spans="1:8">
      <c r="A1" s="28" t="s">
        <v>0</v>
      </c>
      <c r="B1" s="29"/>
      <c r="C1" s="29"/>
      <c r="D1" s="29"/>
      <c r="E1" s="29"/>
      <c r="F1" s="29"/>
      <c r="G1" s="29"/>
      <c r="H1" s="29"/>
    </row>
    <row r="2" ht="52" customHeight="1" spans="1:8">
      <c r="A2" s="29"/>
      <c r="B2" s="29"/>
      <c r="C2" s="29"/>
      <c r="D2" s="29"/>
      <c r="E2" s="29"/>
      <c r="F2" s="29"/>
      <c r="G2" s="29"/>
      <c r="H2" s="29"/>
    </row>
    <row r="3" ht="16.5" spans="1:8">
      <c r="A3" s="29"/>
      <c r="B3" s="29"/>
      <c r="C3" s="29"/>
      <c r="D3" s="29"/>
      <c r="E3" s="29"/>
      <c r="F3" s="29"/>
      <c r="G3" s="29"/>
      <c r="H3" s="29"/>
    </row>
    <row r="4" ht="16.5" spans="1:8">
      <c r="A4" s="30" t="s">
        <v>1</v>
      </c>
      <c r="B4" s="31" t="s">
        <v>2</v>
      </c>
      <c r="C4" s="32"/>
      <c r="D4" s="32"/>
      <c r="E4" s="32"/>
      <c r="F4" s="32"/>
      <c r="G4" s="32"/>
      <c r="H4" s="33"/>
    </row>
    <row r="5" ht="16.5" spans="1:8">
      <c r="A5" s="34" t="s">
        <v>3</v>
      </c>
      <c r="B5" s="35" t="s">
        <v>4</v>
      </c>
      <c r="C5" s="35"/>
      <c r="D5" s="35"/>
      <c r="E5" s="35"/>
      <c r="F5" s="35"/>
      <c r="G5" s="35"/>
      <c r="H5" s="36"/>
    </row>
    <row r="6" ht="16.5" spans="1:8">
      <c r="A6" s="34" t="s">
        <v>5</v>
      </c>
      <c r="B6" s="35" t="s">
        <v>6</v>
      </c>
      <c r="C6" s="35"/>
      <c r="D6" s="35"/>
      <c r="E6" s="35"/>
      <c r="F6" s="35"/>
      <c r="G6" s="35"/>
      <c r="H6" s="36"/>
    </row>
    <row r="7" ht="16.5" spans="1:8">
      <c r="A7" s="34" t="s">
        <v>7</v>
      </c>
      <c r="B7" s="35" t="s">
        <v>8</v>
      </c>
      <c r="C7" s="35"/>
      <c r="D7" s="35"/>
      <c r="E7" s="35"/>
      <c r="F7" s="35"/>
      <c r="G7" s="35"/>
      <c r="H7" s="36"/>
    </row>
    <row r="8" ht="16.5" spans="1:8">
      <c r="A8" s="34" t="s">
        <v>9</v>
      </c>
      <c r="B8" s="37">
        <v>46237</v>
      </c>
      <c r="C8" s="35"/>
      <c r="D8" s="35"/>
      <c r="E8" s="35"/>
      <c r="F8" s="35"/>
      <c r="G8" s="35"/>
      <c r="H8" s="36"/>
    </row>
    <row r="9" ht="16.5" spans="1:8">
      <c r="A9" s="34" t="s">
        <v>10</v>
      </c>
      <c r="B9" s="37">
        <v>46600</v>
      </c>
      <c r="C9" s="35"/>
      <c r="D9" s="35"/>
      <c r="E9" s="35"/>
      <c r="F9" s="35"/>
      <c r="G9" s="35"/>
      <c r="H9" s="36"/>
    </row>
    <row r="10" ht="16.5" spans="1:8">
      <c r="A10" s="34" t="s">
        <v>11</v>
      </c>
      <c r="B10" s="35" t="s">
        <v>12</v>
      </c>
      <c r="C10" s="35"/>
      <c r="D10" s="35"/>
      <c r="E10" s="35"/>
      <c r="F10" s="35"/>
      <c r="G10" s="35"/>
      <c r="H10" s="36"/>
    </row>
    <row r="11" ht="16.5" spans="1:8">
      <c r="A11" s="34"/>
      <c r="B11" s="35"/>
      <c r="C11" s="35"/>
      <c r="D11" s="35"/>
      <c r="E11" s="35"/>
      <c r="F11" s="35"/>
      <c r="G11" s="35"/>
      <c r="H11" s="36"/>
    </row>
    <row r="12" ht="15" spans="1:8">
      <c r="A12" s="38" t="s">
        <v>13</v>
      </c>
      <c r="B12" s="39" t="s">
        <v>14</v>
      </c>
      <c r="C12" s="39" t="s">
        <v>15</v>
      </c>
      <c r="D12" s="39" t="s">
        <v>16</v>
      </c>
      <c r="E12" s="39" t="s">
        <v>17</v>
      </c>
      <c r="F12" s="39" t="s">
        <v>18</v>
      </c>
      <c r="G12" s="39" t="s">
        <v>19</v>
      </c>
      <c r="H12" s="40" t="s">
        <v>20</v>
      </c>
    </row>
    <row r="13" ht="54" customHeight="1" spans="1:8">
      <c r="A13" s="41" t="str">
        <f ca="1">IFERROR(INDEX(每日计划!$D$4:$D$367,MATCH(TODAY(),每日计划!$A$4:$A$367,0)),"非计划日")</f>
        <v>周二</v>
      </c>
      <c r="B13" s="42">
        <f ca="1">TODAY()</f>
        <v>46238</v>
      </c>
      <c r="C13" s="43">
        <f ca="1">IFERROR(INDEX(每日计划!$B$4:$B$367,MATCH(TODAY(),每日计划!$A$4:$A$367,0)),"")</f>
        <v>1</v>
      </c>
      <c r="D13" s="43" t="str">
        <f ca="1">IFERROR(INDEX(每日计划!$C$4:$C$367,MATCH(TODAY(),每日计划!$A$4:$A$367,0)),"")</f>
        <v>基础与工具</v>
      </c>
      <c r="E13" s="43" t="str">
        <f ca="1">IFERROR(INDEX(每日计划!$E$4:$E$367,MATCH(TODAY(),每日计划!$A$4:$A$367,0)),"")</f>
        <v>方向确认与环境搭建</v>
      </c>
      <c r="F13" s="43" t="str">
        <f ca="1">IFERROR(INDEX(每日计划!$F$4:$F$367,MATCH(TODAY(),每日计划!$A$4:$A$367,0)),"今天不在计划周期内")</f>
        <v>仿真/数据：用Python读取一份CSV并绘制折线图</v>
      </c>
      <c r="G13" s="44">
        <f ca="1">IFERROR(INDEX(每日计划!$H$4:$H$367,MATCH(TODAY(),每日计划!$A$4:$A$367,0)),"")</f>
        <v>1.5</v>
      </c>
      <c r="H13" s="45" t="str">
        <f ca="1">IFERROR(INDEX(每日计划!$J$4:$J$367,MATCH(TODAY(),每日计划!$A$4:$A$367,0)),"")</f>
        <v>进行中</v>
      </c>
    </row>
    <row r="14" ht="16.5" spans="1:8">
      <c r="A14" s="34"/>
      <c r="B14" s="35"/>
      <c r="C14" s="35"/>
      <c r="D14" s="35"/>
      <c r="E14" s="35"/>
      <c r="F14" s="35"/>
      <c r="G14" s="35"/>
      <c r="H14" s="36"/>
    </row>
    <row r="15" ht="16.5" spans="1:8">
      <c r="A15" s="34"/>
      <c r="B15" s="35"/>
      <c r="C15" s="35"/>
      <c r="D15" s="35"/>
      <c r="E15" s="35"/>
      <c r="F15" s="35"/>
      <c r="G15" s="35"/>
      <c r="H15" s="36"/>
    </row>
    <row r="16" ht="15" spans="1:8">
      <c r="A16" s="38" t="s">
        <v>21</v>
      </c>
      <c r="B16" s="39" t="s">
        <v>22</v>
      </c>
      <c r="C16" s="39" t="s">
        <v>23</v>
      </c>
      <c r="D16" s="39" t="s">
        <v>24</v>
      </c>
      <c r="E16" s="39" t="s">
        <v>19</v>
      </c>
      <c r="F16" s="39" t="s">
        <v>25</v>
      </c>
      <c r="G16" s="39" t="s">
        <v>26</v>
      </c>
      <c r="H16" s="40" t="s">
        <v>27</v>
      </c>
    </row>
    <row r="17" ht="36" customHeight="1" spans="1:8">
      <c r="A17" s="46" t="str">
        <f ca="1">"截至 "&amp;TEXT(TODAY(),"yyyy-mm-dd")</f>
        <v>截至 2026-08-04</v>
      </c>
      <c r="B17" s="47">
        <f>COUNTA(每日计划!$A$4:$A$367)</f>
        <v>364</v>
      </c>
      <c r="C17" s="47">
        <f>COUNTIF(每日计划!$J$4:$J$367,"已完成")</f>
        <v>1</v>
      </c>
      <c r="D17" s="48">
        <f>C17/B17</f>
        <v>0.00274725274725275</v>
      </c>
      <c r="E17" s="49">
        <f>SUM(每日计划!$H$4:$H$367)</f>
        <v>650</v>
      </c>
      <c r="F17" s="49">
        <f>SUM(每日计划!$I$4:$I$367)</f>
        <v>0</v>
      </c>
      <c r="G17" s="48">
        <f>IFERROR(F17/E17,0)</f>
        <v>0</v>
      </c>
      <c r="H17" s="50" t="str">
        <f ca="1">COUNTIFS(每日计划!$A$4:$A$367,"&lt;="&amp;TODAY(),每日计划!$J$4:$J$367,"已完成")&amp;" 个历史完成日"</f>
        <v>1 个历史完成日</v>
      </c>
    </row>
    <row r="18" ht="16.5" spans="1:8">
      <c r="A18" s="34"/>
      <c r="B18" s="35"/>
      <c r="C18" s="35"/>
      <c r="D18" s="35"/>
      <c r="E18" s="35"/>
      <c r="F18" s="35"/>
      <c r="G18" s="35"/>
      <c r="H18" s="36"/>
    </row>
    <row r="19" ht="16.5" spans="1:8">
      <c r="A19" s="34"/>
      <c r="B19" s="35"/>
      <c r="C19" s="35"/>
      <c r="D19" s="35"/>
      <c r="E19" s="35"/>
      <c r="F19" s="35"/>
      <c r="G19" s="35"/>
      <c r="H19" s="36"/>
    </row>
    <row r="20" ht="16.5" spans="1:8">
      <c r="A20" s="38" t="s">
        <v>16</v>
      </c>
      <c r="B20" s="39" t="s">
        <v>28</v>
      </c>
      <c r="C20" s="39" t="s">
        <v>19</v>
      </c>
      <c r="D20" s="39" t="s">
        <v>29</v>
      </c>
      <c r="E20" s="35"/>
      <c r="F20" s="35"/>
      <c r="G20" s="35"/>
      <c r="H20" s="36"/>
    </row>
    <row r="21" ht="16.5" spans="1:8">
      <c r="A21" s="34" t="s">
        <v>30</v>
      </c>
      <c r="B21" s="35">
        <f>COUNTIF(周复盘!$D$4:$D$55,A21)</f>
        <v>13</v>
      </c>
      <c r="C21" s="51">
        <f>SUMIF(每日计划!$C$4:$C$367,A21,每日计划!$H$4:$H$367)</f>
        <v>162.5</v>
      </c>
      <c r="D21" s="35">
        <f>COUNTIFS(每日计划!$C$4:$C$367,A21,每日计划!$J$4:$J$367,"已完成")</f>
        <v>1</v>
      </c>
      <c r="E21" s="35"/>
      <c r="F21" s="35"/>
      <c r="G21" s="35"/>
      <c r="H21" s="36"/>
    </row>
    <row r="22" ht="16.5" spans="1:8">
      <c r="A22" s="34" t="s">
        <v>31</v>
      </c>
      <c r="B22" s="35">
        <f>COUNTIF(周复盘!$D$4:$D$55,A22)</f>
        <v>13</v>
      </c>
      <c r="C22" s="51">
        <f>SUMIF(每日计划!$C$4:$C$367,A22,每日计划!$H$4:$H$367)</f>
        <v>162.5</v>
      </c>
      <c r="D22" s="35">
        <f>COUNTIFS(每日计划!$C$4:$C$367,A22,每日计划!$J$4:$J$367,"已完成")</f>
        <v>0</v>
      </c>
      <c r="E22" s="35"/>
      <c r="F22" s="35"/>
      <c r="G22" s="35"/>
      <c r="H22" s="36"/>
    </row>
    <row r="23" ht="16.5" spans="1:8">
      <c r="A23" s="34" t="s">
        <v>32</v>
      </c>
      <c r="B23" s="35">
        <f>COUNTIF(周复盘!$D$4:$D$55,A23)</f>
        <v>13</v>
      </c>
      <c r="C23" s="51">
        <f>SUMIF(每日计划!$C$4:$C$367,A23,每日计划!$H$4:$H$367)</f>
        <v>162.5</v>
      </c>
      <c r="D23" s="35">
        <f>COUNTIFS(每日计划!$C$4:$C$367,A23,每日计划!$J$4:$J$367,"已完成")</f>
        <v>0</v>
      </c>
      <c r="E23" s="35"/>
      <c r="F23" s="35"/>
      <c r="G23" s="35"/>
      <c r="H23" s="36"/>
    </row>
    <row r="24" ht="16.5" spans="1:8">
      <c r="A24" s="34" t="s">
        <v>33</v>
      </c>
      <c r="B24" s="35">
        <f>COUNTIF(周复盘!$D$4:$D$55,A24)</f>
        <v>13</v>
      </c>
      <c r="C24" s="51">
        <f>SUMIF(每日计划!$C$4:$C$367,A24,每日计划!$H$4:$H$367)</f>
        <v>162.5</v>
      </c>
      <c r="D24" s="35">
        <f>COUNTIFS(每日计划!$C$4:$C$367,A24,每日计划!$J$4:$J$367,"已完成")</f>
        <v>0</v>
      </c>
      <c r="E24" s="35"/>
      <c r="F24" s="35"/>
      <c r="G24" s="35"/>
      <c r="H24" s="36"/>
    </row>
    <row r="25" ht="16.5" spans="1:8">
      <c r="A25" s="34"/>
      <c r="B25" s="35"/>
      <c r="C25" s="35"/>
      <c r="D25" s="35"/>
      <c r="E25" s="35"/>
      <c r="F25" s="35"/>
      <c r="G25" s="35"/>
      <c r="H25" s="36"/>
    </row>
    <row r="26" ht="15" spans="1:8">
      <c r="A26" s="38" t="s">
        <v>34</v>
      </c>
      <c r="B26" s="39"/>
      <c r="C26" s="39"/>
      <c r="D26" s="39"/>
      <c r="E26" s="39"/>
      <c r="F26" s="39"/>
      <c r="G26" s="39"/>
      <c r="H26" s="40"/>
    </row>
    <row r="27" ht="36" customHeight="1" spans="1:8">
      <c r="A27" s="52" t="s">
        <v>35</v>
      </c>
      <c r="B27" s="53" t="s">
        <v>36</v>
      </c>
      <c r="C27" s="53"/>
      <c r="D27" s="53"/>
      <c r="E27" s="53"/>
      <c r="F27" s="53"/>
      <c r="G27" s="53"/>
      <c r="H27" s="54"/>
    </row>
    <row r="28" ht="36" customHeight="1" spans="1:8">
      <c r="A28" s="52" t="s">
        <v>37</v>
      </c>
      <c r="B28" s="53" t="s">
        <v>38</v>
      </c>
      <c r="C28" s="53"/>
      <c r="D28" s="53"/>
      <c r="E28" s="53"/>
      <c r="F28" s="53"/>
      <c r="G28" s="53"/>
      <c r="H28" s="54"/>
    </row>
    <row r="29" ht="36" customHeight="1" spans="1:8">
      <c r="A29" s="55" t="s">
        <v>39</v>
      </c>
      <c r="B29" s="56" t="s">
        <v>40</v>
      </c>
      <c r="C29" s="56"/>
      <c r="D29" s="56"/>
      <c r="E29" s="56"/>
      <c r="F29" s="56"/>
      <c r="G29" s="56"/>
      <c r="H29" s="57"/>
    </row>
  </sheetData>
  <mergeCells count="5">
    <mergeCell ref="A26:H26"/>
    <mergeCell ref="B27:H27"/>
    <mergeCell ref="B28:H28"/>
    <mergeCell ref="B29:H29"/>
    <mergeCell ref="A1:H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7"/>
  <sheetViews>
    <sheetView showGridLines="0" tabSelected="1" topLeftCell="C1" workbookViewId="0">
      <selection activeCell="G5" sqref="G5"/>
    </sheetView>
  </sheetViews>
  <sheetFormatPr defaultColWidth="9" defaultRowHeight="14.25"/>
  <cols>
    <col min="1" max="1" width="13" customWidth="1"/>
    <col min="2" max="2" width="7" customWidth="1"/>
    <col min="3" max="3" width="16" customWidth="1"/>
    <col min="4" max="4" width="8" customWidth="1"/>
    <col min="5" max="5" width="23" customWidth="1"/>
    <col min="6" max="6" width="58" customWidth="1"/>
    <col min="7" max="7" width="28" customWidth="1"/>
    <col min="8" max="10" width="13" customWidth="1"/>
    <col min="11" max="11" width="35" customWidth="1"/>
    <col min="12" max="12" width="28" customWidth="1"/>
  </cols>
  <sheetData>
    <row r="1" ht="52" customHeight="1" spans="1:12">
      <c r="A1" s="1" t="s">
        <v>41</v>
      </c>
    </row>
    <row r="2" ht="52" customHeight="1"/>
    <row r="3" ht="15" spans="1:12">
      <c r="A3" s="2" t="s">
        <v>14</v>
      </c>
      <c r="B3" s="2" t="s">
        <v>15</v>
      </c>
      <c r="C3" s="2" t="s">
        <v>16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20</v>
      </c>
      <c r="K3" s="2" t="s">
        <v>48</v>
      </c>
      <c r="L3" s="2" t="s">
        <v>49</v>
      </c>
    </row>
    <row r="4" ht="42" customHeight="1" spans="1:12">
      <c r="A4" s="13">
        <v>46237</v>
      </c>
      <c r="B4" s="5">
        <v>1</v>
      </c>
      <c r="C4" s="3" t="s">
        <v>30</v>
      </c>
      <c r="D4" s="3" t="s">
        <v>50</v>
      </c>
      <c r="E4" s="3" t="s">
        <v>51</v>
      </c>
      <c r="F4" s="3" t="s">
        <v>52</v>
      </c>
      <c r="G4" s="3" t="s">
        <v>53</v>
      </c>
      <c r="H4" s="14">
        <v>1.5</v>
      </c>
      <c r="I4" s="25"/>
      <c r="J4" s="16" t="s">
        <v>23</v>
      </c>
      <c r="K4" s="16" t="s">
        <v>54</v>
      </c>
      <c r="L4" s="16" t="s">
        <v>55</v>
      </c>
    </row>
    <row r="5" ht="42" customHeight="1" spans="1:12">
      <c r="A5" s="17">
        <v>46238</v>
      </c>
      <c r="B5" s="8">
        <v>1</v>
      </c>
      <c r="C5" s="6" t="s">
        <v>30</v>
      </c>
      <c r="D5" s="6" t="s">
        <v>56</v>
      </c>
      <c r="E5" s="6" t="s">
        <v>51</v>
      </c>
      <c r="F5" s="6" t="s">
        <v>57</v>
      </c>
      <c r="G5" s="6" t="s">
        <v>58</v>
      </c>
      <c r="H5" s="18">
        <v>1.5</v>
      </c>
      <c r="I5" s="26"/>
      <c r="J5" s="20" t="s">
        <v>59</v>
      </c>
      <c r="K5" s="20" t="s">
        <v>60</v>
      </c>
      <c r="L5" s="20" t="s">
        <v>60</v>
      </c>
    </row>
    <row r="6" ht="42" customHeight="1" spans="1:12">
      <c r="A6" s="17">
        <v>46239</v>
      </c>
      <c r="B6" s="8">
        <v>1</v>
      </c>
      <c r="C6" s="6" t="s">
        <v>30</v>
      </c>
      <c r="D6" s="6" t="s">
        <v>61</v>
      </c>
      <c r="E6" s="6" t="s">
        <v>51</v>
      </c>
      <c r="F6" s="6" t="s">
        <v>62</v>
      </c>
      <c r="G6" s="6" t="s">
        <v>63</v>
      </c>
      <c r="H6" s="18">
        <v>1.5</v>
      </c>
      <c r="I6" s="26"/>
      <c r="J6" s="20" t="s">
        <v>64</v>
      </c>
      <c r="K6" s="20" t="s">
        <v>60</v>
      </c>
      <c r="L6" s="20" t="s">
        <v>60</v>
      </c>
    </row>
    <row r="7" ht="42" customHeight="1" spans="1:12">
      <c r="A7" s="17">
        <v>46240</v>
      </c>
      <c r="B7" s="8">
        <v>1</v>
      </c>
      <c r="C7" s="6" t="s">
        <v>30</v>
      </c>
      <c r="D7" s="6" t="s">
        <v>65</v>
      </c>
      <c r="E7" s="6" t="s">
        <v>51</v>
      </c>
      <c r="F7" s="6" t="s">
        <v>66</v>
      </c>
      <c r="G7" s="6" t="s">
        <v>67</v>
      </c>
      <c r="H7" s="18">
        <v>1.5</v>
      </c>
      <c r="I7" s="26"/>
      <c r="J7" s="20" t="s">
        <v>64</v>
      </c>
      <c r="K7" s="20" t="s">
        <v>60</v>
      </c>
      <c r="L7" s="20" t="s">
        <v>60</v>
      </c>
    </row>
    <row r="8" ht="42" customHeight="1" spans="1:12">
      <c r="A8" s="17">
        <v>46241</v>
      </c>
      <c r="B8" s="8">
        <v>1</v>
      </c>
      <c r="C8" s="6" t="s">
        <v>30</v>
      </c>
      <c r="D8" s="6" t="s">
        <v>68</v>
      </c>
      <c r="E8" s="6" t="s">
        <v>51</v>
      </c>
      <c r="F8" s="6" t="s">
        <v>69</v>
      </c>
      <c r="G8" s="6" t="s">
        <v>70</v>
      </c>
      <c r="H8" s="18">
        <v>1.5</v>
      </c>
      <c r="I8" s="26"/>
      <c r="J8" s="20" t="s">
        <v>64</v>
      </c>
      <c r="K8" s="20" t="s">
        <v>60</v>
      </c>
      <c r="L8" s="20" t="s">
        <v>60</v>
      </c>
    </row>
    <row r="9" ht="42" customHeight="1" spans="1:12">
      <c r="A9" s="17">
        <v>46242</v>
      </c>
      <c r="B9" s="8">
        <v>1</v>
      </c>
      <c r="C9" s="6" t="s">
        <v>30</v>
      </c>
      <c r="D9" s="6" t="s">
        <v>71</v>
      </c>
      <c r="E9" s="6" t="s">
        <v>51</v>
      </c>
      <c r="F9" s="6" t="s">
        <v>72</v>
      </c>
      <c r="G9" s="6"/>
      <c r="H9" s="18">
        <v>4</v>
      </c>
      <c r="I9" s="26"/>
      <c r="J9" s="20" t="s">
        <v>64</v>
      </c>
      <c r="K9" s="20" t="s">
        <v>60</v>
      </c>
      <c r="L9" s="20" t="s">
        <v>60</v>
      </c>
    </row>
    <row r="10" ht="42" customHeight="1" spans="1:12">
      <c r="A10" s="17">
        <v>46243</v>
      </c>
      <c r="B10" s="8">
        <v>1</v>
      </c>
      <c r="C10" s="6" t="s">
        <v>30</v>
      </c>
      <c r="D10" s="6" t="s">
        <v>73</v>
      </c>
      <c r="E10" s="6" t="s">
        <v>51</v>
      </c>
      <c r="F10" s="6" t="s">
        <v>74</v>
      </c>
      <c r="G10" s="6" t="s">
        <v>75</v>
      </c>
      <c r="H10" s="18">
        <v>1</v>
      </c>
      <c r="I10" s="26"/>
      <c r="J10" s="20" t="s">
        <v>64</v>
      </c>
      <c r="K10" s="20" t="s">
        <v>60</v>
      </c>
      <c r="L10" s="20" t="s">
        <v>60</v>
      </c>
    </row>
    <row r="11" ht="42" customHeight="1" spans="1:12">
      <c r="A11" s="17">
        <v>46244</v>
      </c>
      <c r="B11" s="8">
        <v>2</v>
      </c>
      <c r="C11" s="6" t="s">
        <v>30</v>
      </c>
      <c r="D11" s="6" t="s">
        <v>50</v>
      </c>
      <c r="E11" s="6" t="s">
        <v>76</v>
      </c>
      <c r="F11" s="6" t="s">
        <v>77</v>
      </c>
      <c r="G11" s="6" t="s">
        <v>53</v>
      </c>
      <c r="H11" s="18">
        <v>1.5</v>
      </c>
      <c r="I11" s="26"/>
      <c r="J11" s="20" t="s">
        <v>64</v>
      </c>
      <c r="K11" s="20" t="s">
        <v>60</v>
      </c>
      <c r="L11" s="20" t="s">
        <v>60</v>
      </c>
    </row>
    <row r="12" ht="42" customHeight="1" spans="1:12">
      <c r="A12" s="17">
        <v>46245</v>
      </c>
      <c r="B12" s="8">
        <v>2</v>
      </c>
      <c r="C12" s="6" t="s">
        <v>30</v>
      </c>
      <c r="D12" s="6" t="s">
        <v>56</v>
      </c>
      <c r="E12" s="6" t="s">
        <v>76</v>
      </c>
      <c r="F12" s="6" t="s">
        <v>78</v>
      </c>
      <c r="G12" s="6" t="s">
        <v>58</v>
      </c>
      <c r="H12" s="18">
        <v>1.5</v>
      </c>
      <c r="I12" s="26"/>
      <c r="J12" s="20" t="s">
        <v>64</v>
      </c>
      <c r="K12" s="20" t="s">
        <v>60</v>
      </c>
      <c r="L12" s="20" t="s">
        <v>60</v>
      </c>
    </row>
    <row r="13" ht="42" customHeight="1" spans="1:12">
      <c r="A13" s="17">
        <v>46246</v>
      </c>
      <c r="B13" s="8">
        <v>2</v>
      </c>
      <c r="C13" s="6" t="s">
        <v>30</v>
      </c>
      <c r="D13" s="6" t="s">
        <v>61</v>
      </c>
      <c r="E13" s="6" t="s">
        <v>76</v>
      </c>
      <c r="F13" s="6" t="s">
        <v>79</v>
      </c>
      <c r="G13" s="6" t="s">
        <v>63</v>
      </c>
      <c r="H13" s="18">
        <v>1.5</v>
      </c>
      <c r="I13" s="26"/>
      <c r="J13" s="20" t="s">
        <v>64</v>
      </c>
      <c r="K13" s="20" t="s">
        <v>60</v>
      </c>
      <c r="L13" s="20" t="s">
        <v>60</v>
      </c>
    </row>
    <row r="14" ht="42" customHeight="1" spans="1:12">
      <c r="A14" s="17">
        <v>46247</v>
      </c>
      <c r="B14" s="8">
        <v>2</v>
      </c>
      <c r="C14" s="6" t="s">
        <v>30</v>
      </c>
      <c r="D14" s="6" t="s">
        <v>65</v>
      </c>
      <c r="E14" s="6" t="s">
        <v>76</v>
      </c>
      <c r="F14" s="6" t="s">
        <v>80</v>
      </c>
      <c r="G14" s="6" t="s">
        <v>67</v>
      </c>
      <c r="H14" s="18">
        <v>1.5</v>
      </c>
      <c r="I14" s="26"/>
      <c r="J14" s="20" t="s">
        <v>64</v>
      </c>
      <c r="K14" s="20" t="s">
        <v>60</v>
      </c>
      <c r="L14" s="20" t="s">
        <v>60</v>
      </c>
    </row>
    <row r="15" ht="42" customHeight="1" spans="1:12">
      <c r="A15" s="17">
        <v>46248</v>
      </c>
      <c r="B15" s="8">
        <v>2</v>
      </c>
      <c r="C15" s="6" t="s">
        <v>30</v>
      </c>
      <c r="D15" s="6" t="s">
        <v>68</v>
      </c>
      <c r="E15" s="6" t="s">
        <v>76</v>
      </c>
      <c r="F15" s="6" t="s">
        <v>81</v>
      </c>
      <c r="G15" s="6" t="s">
        <v>70</v>
      </c>
      <c r="H15" s="18">
        <v>1.5</v>
      </c>
      <c r="I15" s="26"/>
      <c r="J15" s="20" t="s">
        <v>64</v>
      </c>
      <c r="K15" s="20" t="s">
        <v>60</v>
      </c>
      <c r="L15" s="20" t="s">
        <v>60</v>
      </c>
    </row>
    <row r="16" ht="42" customHeight="1" spans="1:12">
      <c r="A16" s="17">
        <v>46249</v>
      </c>
      <c r="B16" s="8">
        <v>2</v>
      </c>
      <c r="C16" s="6" t="s">
        <v>30</v>
      </c>
      <c r="D16" s="6" t="s">
        <v>71</v>
      </c>
      <c r="E16" s="6" t="s">
        <v>76</v>
      </c>
      <c r="F16" s="6" t="s">
        <v>82</v>
      </c>
      <c r="G16" s="6"/>
      <c r="H16" s="18">
        <v>4</v>
      </c>
      <c r="I16" s="26"/>
      <c r="J16" s="20" t="s">
        <v>64</v>
      </c>
      <c r="K16" s="20" t="s">
        <v>60</v>
      </c>
      <c r="L16" s="20" t="s">
        <v>60</v>
      </c>
    </row>
    <row r="17" ht="42" customHeight="1" spans="1:12">
      <c r="A17" s="17">
        <v>46250</v>
      </c>
      <c r="B17" s="8">
        <v>2</v>
      </c>
      <c r="C17" s="6" t="s">
        <v>30</v>
      </c>
      <c r="D17" s="6" t="s">
        <v>73</v>
      </c>
      <c r="E17" s="6" t="s">
        <v>76</v>
      </c>
      <c r="F17" s="6" t="s">
        <v>83</v>
      </c>
      <c r="G17" s="6" t="s">
        <v>75</v>
      </c>
      <c r="H17" s="18">
        <v>1</v>
      </c>
      <c r="I17" s="26"/>
      <c r="J17" s="20" t="s">
        <v>64</v>
      </c>
      <c r="K17" s="20" t="s">
        <v>60</v>
      </c>
      <c r="L17" s="20" t="s">
        <v>60</v>
      </c>
    </row>
    <row r="18" ht="42" customHeight="1" spans="1:12">
      <c r="A18" s="17">
        <v>46251</v>
      </c>
      <c r="B18" s="8">
        <v>3</v>
      </c>
      <c r="C18" s="6" t="s">
        <v>30</v>
      </c>
      <c r="D18" s="6" t="s">
        <v>50</v>
      </c>
      <c r="E18" s="6" t="s">
        <v>84</v>
      </c>
      <c r="F18" s="6" t="s">
        <v>85</v>
      </c>
      <c r="G18" s="6" t="s">
        <v>53</v>
      </c>
      <c r="H18" s="18">
        <v>1.5</v>
      </c>
      <c r="I18" s="26"/>
      <c r="J18" s="20" t="s">
        <v>64</v>
      </c>
      <c r="K18" s="20" t="s">
        <v>60</v>
      </c>
      <c r="L18" s="20" t="s">
        <v>60</v>
      </c>
    </row>
    <row r="19" ht="42" customHeight="1" spans="1:12">
      <c r="A19" s="17">
        <v>46252</v>
      </c>
      <c r="B19" s="8">
        <v>3</v>
      </c>
      <c r="C19" s="6" t="s">
        <v>30</v>
      </c>
      <c r="D19" s="6" t="s">
        <v>56</v>
      </c>
      <c r="E19" s="6" t="s">
        <v>84</v>
      </c>
      <c r="F19" s="6" t="s">
        <v>86</v>
      </c>
      <c r="G19" s="6" t="s">
        <v>58</v>
      </c>
      <c r="H19" s="18">
        <v>1.5</v>
      </c>
      <c r="I19" s="26"/>
      <c r="J19" s="20" t="s">
        <v>64</v>
      </c>
      <c r="K19" s="20" t="s">
        <v>60</v>
      </c>
      <c r="L19" s="20" t="s">
        <v>60</v>
      </c>
    </row>
    <row r="20" ht="42" customHeight="1" spans="1:12">
      <c r="A20" s="17">
        <v>46253</v>
      </c>
      <c r="B20" s="8">
        <v>3</v>
      </c>
      <c r="C20" s="6" t="s">
        <v>30</v>
      </c>
      <c r="D20" s="6" t="s">
        <v>61</v>
      </c>
      <c r="E20" s="6" t="s">
        <v>84</v>
      </c>
      <c r="F20" s="6" t="s">
        <v>87</v>
      </c>
      <c r="G20" s="6" t="s">
        <v>63</v>
      </c>
      <c r="H20" s="18">
        <v>1.5</v>
      </c>
      <c r="I20" s="26"/>
      <c r="J20" s="20" t="s">
        <v>64</v>
      </c>
      <c r="K20" s="20" t="s">
        <v>60</v>
      </c>
      <c r="L20" s="20" t="s">
        <v>60</v>
      </c>
    </row>
    <row r="21" ht="42" customHeight="1" spans="1:12">
      <c r="A21" s="17">
        <v>46254</v>
      </c>
      <c r="B21" s="8">
        <v>3</v>
      </c>
      <c r="C21" s="6" t="s">
        <v>30</v>
      </c>
      <c r="D21" s="6" t="s">
        <v>65</v>
      </c>
      <c r="E21" s="6" t="s">
        <v>84</v>
      </c>
      <c r="F21" s="6" t="s">
        <v>88</v>
      </c>
      <c r="G21" s="6" t="s">
        <v>67</v>
      </c>
      <c r="H21" s="18">
        <v>1.5</v>
      </c>
      <c r="I21" s="26"/>
      <c r="J21" s="20" t="s">
        <v>64</v>
      </c>
      <c r="K21" s="20" t="s">
        <v>60</v>
      </c>
      <c r="L21" s="20" t="s">
        <v>60</v>
      </c>
    </row>
    <row r="22" ht="42" customHeight="1" spans="1:12">
      <c r="A22" s="17">
        <v>46255</v>
      </c>
      <c r="B22" s="8">
        <v>3</v>
      </c>
      <c r="C22" s="6" t="s">
        <v>30</v>
      </c>
      <c r="D22" s="6" t="s">
        <v>68</v>
      </c>
      <c r="E22" s="6" t="s">
        <v>84</v>
      </c>
      <c r="F22" s="6" t="s">
        <v>89</v>
      </c>
      <c r="G22" s="6" t="s">
        <v>70</v>
      </c>
      <c r="H22" s="18">
        <v>1.5</v>
      </c>
      <c r="I22" s="26"/>
      <c r="J22" s="20" t="s">
        <v>64</v>
      </c>
      <c r="K22" s="20" t="s">
        <v>60</v>
      </c>
      <c r="L22" s="20" t="s">
        <v>60</v>
      </c>
    </row>
    <row r="23" ht="42" customHeight="1" spans="1:12">
      <c r="A23" s="17">
        <v>46256</v>
      </c>
      <c r="B23" s="8">
        <v>3</v>
      </c>
      <c r="C23" s="6" t="s">
        <v>30</v>
      </c>
      <c r="D23" s="6" t="s">
        <v>71</v>
      </c>
      <c r="E23" s="6" t="s">
        <v>84</v>
      </c>
      <c r="F23" s="6" t="s">
        <v>90</v>
      </c>
      <c r="G23" s="6"/>
      <c r="H23" s="18">
        <v>4</v>
      </c>
      <c r="I23" s="26"/>
      <c r="J23" s="20" t="s">
        <v>64</v>
      </c>
      <c r="K23" s="20" t="s">
        <v>60</v>
      </c>
      <c r="L23" s="20" t="s">
        <v>60</v>
      </c>
    </row>
    <row r="24" ht="42" customHeight="1" spans="1:12">
      <c r="A24" s="17">
        <v>46257</v>
      </c>
      <c r="B24" s="8">
        <v>3</v>
      </c>
      <c r="C24" s="6" t="s">
        <v>30</v>
      </c>
      <c r="D24" s="6" t="s">
        <v>73</v>
      </c>
      <c r="E24" s="6" t="s">
        <v>84</v>
      </c>
      <c r="F24" s="6" t="s">
        <v>91</v>
      </c>
      <c r="G24" s="6" t="s">
        <v>75</v>
      </c>
      <c r="H24" s="18">
        <v>1</v>
      </c>
      <c r="I24" s="26"/>
      <c r="J24" s="20" t="s">
        <v>64</v>
      </c>
      <c r="K24" s="20" t="s">
        <v>60</v>
      </c>
      <c r="L24" s="20" t="s">
        <v>60</v>
      </c>
    </row>
    <row r="25" ht="42" customHeight="1" spans="1:12">
      <c r="A25" s="17">
        <v>46258</v>
      </c>
      <c r="B25" s="8">
        <v>4</v>
      </c>
      <c r="C25" s="6" t="s">
        <v>30</v>
      </c>
      <c r="D25" s="6" t="s">
        <v>50</v>
      </c>
      <c r="E25" s="6" t="s">
        <v>92</v>
      </c>
      <c r="F25" s="6" t="s">
        <v>93</v>
      </c>
      <c r="G25" s="6" t="s">
        <v>53</v>
      </c>
      <c r="H25" s="18">
        <v>1.5</v>
      </c>
      <c r="I25" s="26"/>
      <c r="J25" s="20" t="s">
        <v>64</v>
      </c>
      <c r="K25" s="20" t="s">
        <v>60</v>
      </c>
      <c r="L25" s="20" t="s">
        <v>60</v>
      </c>
    </row>
    <row r="26" ht="42" customHeight="1" spans="1:12">
      <c r="A26" s="17">
        <v>46259</v>
      </c>
      <c r="B26" s="8">
        <v>4</v>
      </c>
      <c r="C26" s="6" t="s">
        <v>30</v>
      </c>
      <c r="D26" s="6" t="s">
        <v>56</v>
      </c>
      <c r="E26" s="6" t="s">
        <v>92</v>
      </c>
      <c r="F26" s="6" t="s">
        <v>94</v>
      </c>
      <c r="G26" s="6" t="s">
        <v>58</v>
      </c>
      <c r="H26" s="18">
        <v>1.5</v>
      </c>
      <c r="I26" s="26"/>
      <c r="J26" s="20" t="s">
        <v>64</v>
      </c>
      <c r="K26" s="20" t="s">
        <v>60</v>
      </c>
      <c r="L26" s="20" t="s">
        <v>60</v>
      </c>
    </row>
    <row r="27" ht="42" customHeight="1" spans="1:12">
      <c r="A27" s="17">
        <v>46260</v>
      </c>
      <c r="B27" s="8">
        <v>4</v>
      </c>
      <c r="C27" s="6" t="s">
        <v>30</v>
      </c>
      <c r="D27" s="6" t="s">
        <v>61</v>
      </c>
      <c r="E27" s="6" t="s">
        <v>92</v>
      </c>
      <c r="F27" s="6" t="s">
        <v>95</v>
      </c>
      <c r="G27" s="6" t="s">
        <v>63</v>
      </c>
      <c r="H27" s="18">
        <v>1.5</v>
      </c>
      <c r="I27" s="26"/>
      <c r="J27" s="20" t="s">
        <v>64</v>
      </c>
      <c r="K27" s="20" t="s">
        <v>60</v>
      </c>
      <c r="L27" s="20" t="s">
        <v>60</v>
      </c>
    </row>
    <row r="28" ht="42" customHeight="1" spans="1:12">
      <c r="A28" s="17">
        <v>46261</v>
      </c>
      <c r="B28" s="8">
        <v>4</v>
      </c>
      <c r="C28" s="6" t="s">
        <v>30</v>
      </c>
      <c r="D28" s="6" t="s">
        <v>65</v>
      </c>
      <c r="E28" s="6" t="s">
        <v>92</v>
      </c>
      <c r="F28" s="6" t="s">
        <v>96</v>
      </c>
      <c r="G28" s="6" t="s">
        <v>67</v>
      </c>
      <c r="H28" s="18">
        <v>1.5</v>
      </c>
      <c r="I28" s="26"/>
      <c r="J28" s="20" t="s">
        <v>64</v>
      </c>
      <c r="K28" s="20" t="s">
        <v>60</v>
      </c>
      <c r="L28" s="20" t="s">
        <v>60</v>
      </c>
    </row>
    <row r="29" ht="42" customHeight="1" spans="1:12">
      <c r="A29" s="17">
        <v>46262</v>
      </c>
      <c r="B29" s="8">
        <v>4</v>
      </c>
      <c r="C29" s="6" t="s">
        <v>30</v>
      </c>
      <c r="D29" s="6" t="s">
        <v>68</v>
      </c>
      <c r="E29" s="6" t="s">
        <v>92</v>
      </c>
      <c r="F29" s="6" t="s">
        <v>97</v>
      </c>
      <c r="G29" s="6" t="s">
        <v>70</v>
      </c>
      <c r="H29" s="18">
        <v>1.5</v>
      </c>
      <c r="I29" s="26"/>
      <c r="J29" s="20" t="s">
        <v>64</v>
      </c>
      <c r="K29" s="20" t="s">
        <v>60</v>
      </c>
      <c r="L29" s="20" t="s">
        <v>60</v>
      </c>
    </row>
    <row r="30" ht="42" customHeight="1" spans="1:12">
      <c r="A30" s="17">
        <v>46263</v>
      </c>
      <c r="B30" s="8">
        <v>4</v>
      </c>
      <c r="C30" s="6" t="s">
        <v>30</v>
      </c>
      <c r="D30" s="6" t="s">
        <v>71</v>
      </c>
      <c r="E30" s="6" t="s">
        <v>92</v>
      </c>
      <c r="F30" s="6" t="s">
        <v>98</v>
      </c>
      <c r="G30" s="6"/>
      <c r="H30" s="18">
        <v>4</v>
      </c>
      <c r="I30" s="26"/>
      <c r="J30" s="20" t="s">
        <v>64</v>
      </c>
      <c r="K30" s="20" t="s">
        <v>60</v>
      </c>
      <c r="L30" s="20" t="s">
        <v>60</v>
      </c>
    </row>
    <row r="31" ht="42" customHeight="1" spans="1:12">
      <c r="A31" s="17">
        <v>46264</v>
      </c>
      <c r="B31" s="8">
        <v>4</v>
      </c>
      <c r="C31" s="6" t="s">
        <v>30</v>
      </c>
      <c r="D31" s="6" t="s">
        <v>73</v>
      </c>
      <c r="E31" s="6" t="s">
        <v>92</v>
      </c>
      <c r="F31" s="6" t="s">
        <v>99</v>
      </c>
      <c r="G31" s="6" t="s">
        <v>75</v>
      </c>
      <c r="H31" s="18">
        <v>1</v>
      </c>
      <c r="I31" s="26"/>
      <c r="J31" s="20" t="s">
        <v>64</v>
      </c>
      <c r="K31" s="20" t="s">
        <v>60</v>
      </c>
      <c r="L31" s="20" t="s">
        <v>60</v>
      </c>
    </row>
    <row r="32" ht="42" customHeight="1" spans="1:12">
      <c r="A32" s="17">
        <v>46265</v>
      </c>
      <c r="B32" s="8">
        <v>5</v>
      </c>
      <c r="C32" s="6" t="s">
        <v>30</v>
      </c>
      <c r="D32" s="6" t="s">
        <v>50</v>
      </c>
      <c r="E32" s="6" t="s">
        <v>100</v>
      </c>
      <c r="F32" s="6" t="s">
        <v>101</v>
      </c>
      <c r="G32" s="6" t="s">
        <v>53</v>
      </c>
      <c r="H32" s="18">
        <v>1.5</v>
      </c>
      <c r="I32" s="26"/>
      <c r="J32" s="20" t="s">
        <v>64</v>
      </c>
      <c r="K32" s="20" t="s">
        <v>60</v>
      </c>
      <c r="L32" s="20" t="s">
        <v>60</v>
      </c>
    </row>
    <row r="33" ht="42" customHeight="1" spans="1:12">
      <c r="A33" s="17">
        <v>46266</v>
      </c>
      <c r="B33" s="8">
        <v>5</v>
      </c>
      <c r="C33" s="6" t="s">
        <v>30</v>
      </c>
      <c r="D33" s="6" t="s">
        <v>56</v>
      </c>
      <c r="E33" s="6" t="s">
        <v>100</v>
      </c>
      <c r="F33" s="6" t="s">
        <v>102</v>
      </c>
      <c r="G33" s="6" t="s">
        <v>58</v>
      </c>
      <c r="H33" s="18">
        <v>1.5</v>
      </c>
      <c r="I33" s="26"/>
      <c r="J33" s="20" t="s">
        <v>64</v>
      </c>
      <c r="K33" s="20" t="s">
        <v>60</v>
      </c>
      <c r="L33" s="20" t="s">
        <v>60</v>
      </c>
    </row>
    <row r="34" ht="42" customHeight="1" spans="1:12">
      <c r="A34" s="17">
        <v>46267</v>
      </c>
      <c r="B34" s="8">
        <v>5</v>
      </c>
      <c r="C34" s="6" t="s">
        <v>30</v>
      </c>
      <c r="D34" s="6" t="s">
        <v>61</v>
      </c>
      <c r="E34" s="6" t="s">
        <v>100</v>
      </c>
      <c r="F34" s="6" t="s">
        <v>103</v>
      </c>
      <c r="G34" s="6" t="s">
        <v>63</v>
      </c>
      <c r="H34" s="18">
        <v>1.5</v>
      </c>
      <c r="I34" s="26"/>
      <c r="J34" s="20" t="s">
        <v>64</v>
      </c>
      <c r="K34" s="20" t="s">
        <v>60</v>
      </c>
      <c r="L34" s="20" t="s">
        <v>60</v>
      </c>
    </row>
    <row r="35" ht="42" customHeight="1" spans="1:12">
      <c r="A35" s="17">
        <v>46268</v>
      </c>
      <c r="B35" s="8">
        <v>5</v>
      </c>
      <c r="C35" s="6" t="s">
        <v>30</v>
      </c>
      <c r="D35" s="6" t="s">
        <v>65</v>
      </c>
      <c r="E35" s="6" t="s">
        <v>100</v>
      </c>
      <c r="F35" s="6" t="s">
        <v>104</v>
      </c>
      <c r="G35" s="6" t="s">
        <v>67</v>
      </c>
      <c r="H35" s="18">
        <v>1.5</v>
      </c>
      <c r="I35" s="26"/>
      <c r="J35" s="20" t="s">
        <v>64</v>
      </c>
      <c r="K35" s="20" t="s">
        <v>60</v>
      </c>
      <c r="L35" s="20" t="s">
        <v>60</v>
      </c>
    </row>
    <row r="36" ht="42" customHeight="1" spans="1:12">
      <c r="A36" s="17">
        <v>46269</v>
      </c>
      <c r="B36" s="8">
        <v>5</v>
      </c>
      <c r="C36" s="6" t="s">
        <v>30</v>
      </c>
      <c r="D36" s="6" t="s">
        <v>68</v>
      </c>
      <c r="E36" s="6" t="s">
        <v>100</v>
      </c>
      <c r="F36" s="6" t="s">
        <v>105</v>
      </c>
      <c r="G36" s="6" t="s">
        <v>70</v>
      </c>
      <c r="H36" s="18">
        <v>1.5</v>
      </c>
      <c r="I36" s="26"/>
      <c r="J36" s="20" t="s">
        <v>64</v>
      </c>
      <c r="K36" s="20" t="s">
        <v>60</v>
      </c>
      <c r="L36" s="20" t="s">
        <v>60</v>
      </c>
    </row>
    <row r="37" ht="42" customHeight="1" spans="1:12">
      <c r="A37" s="17">
        <v>46270</v>
      </c>
      <c r="B37" s="8">
        <v>5</v>
      </c>
      <c r="C37" s="6" t="s">
        <v>30</v>
      </c>
      <c r="D37" s="6" t="s">
        <v>71</v>
      </c>
      <c r="E37" s="6" t="s">
        <v>100</v>
      </c>
      <c r="F37" s="6" t="s">
        <v>106</v>
      </c>
      <c r="G37" s="6"/>
      <c r="H37" s="18">
        <v>4</v>
      </c>
      <c r="I37" s="26"/>
      <c r="J37" s="20" t="s">
        <v>64</v>
      </c>
      <c r="K37" s="20" t="s">
        <v>60</v>
      </c>
      <c r="L37" s="20" t="s">
        <v>60</v>
      </c>
    </row>
    <row r="38" ht="42" customHeight="1" spans="1:12">
      <c r="A38" s="17">
        <v>46271</v>
      </c>
      <c r="B38" s="8">
        <v>5</v>
      </c>
      <c r="C38" s="6" t="s">
        <v>30</v>
      </c>
      <c r="D38" s="6" t="s">
        <v>73</v>
      </c>
      <c r="E38" s="6" t="s">
        <v>100</v>
      </c>
      <c r="F38" s="6" t="s">
        <v>107</v>
      </c>
      <c r="G38" s="6" t="s">
        <v>75</v>
      </c>
      <c r="H38" s="18">
        <v>1</v>
      </c>
      <c r="I38" s="26"/>
      <c r="J38" s="20" t="s">
        <v>64</v>
      </c>
      <c r="K38" s="20" t="s">
        <v>60</v>
      </c>
      <c r="L38" s="20" t="s">
        <v>60</v>
      </c>
    </row>
    <row r="39" ht="42" customHeight="1" spans="1:12">
      <c r="A39" s="17">
        <v>46272</v>
      </c>
      <c r="B39" s="8">
        <v>6</v>
      </c>
      <c r="C39" s="6" t="s">
        <v>30</v>
      </c>
      <c r="D39" s="6" t="s">
        <v>50</v>
      </c>
      <c r="E39" s="6" t="s">
        <v>108</v>
      </c>
      <c r="F39" s="6" t="s">
        <v>109</v>
      </c>
      <c r="G39" s="6" t="s">
        <v>53</v>
      </c>
      <c r="H39" s="18">
        <v>1.5</v>
      </c>
      <c r="I39" s="26"/>
      <c r="J39" s="20" t="s">
        <v>64</v>
      </c>
      <c r="K39" s="20" t="s">
        <v>60</v>
      </c>
      <c r="L39" s="20" t="s">
        <v>60</v>
      </c>
    </row>
    <row r="40" ht="42" customHeight="1" spans="1:12">
      <c r="A40" s="17">
        <v>46273</v>
      </c>
      <c r="B40" s="8">
        <v>6</v>
      </c>
      <c r="C40" s="6" t="s">
        <v>30</v>
      </c>
      <c r="D40" s="6" t="s">
        <v>56</v>
      </c>
      <c r="E40" s="6" t="s">
        <v>108</v>
      </c>
      <c r="F40" s="6" t="s">
        <v>110</v>
      </c>
      <c r="G40" s="6" t="s">
        <v>58</v>
      </c>
      <c r="H40" s="18">
        <v>1.5</v>
      </c>
      <c r="I40" s="26"/>
      <c r="J40" s="20" t="s">
        <v>64</v>
      </c>
      <c r="K40" s="20" t="s">
        <v>60</v>
      </c>
      <c r="L40" s="20" t="s">
        <v>60</v>
      </c>
    </row>
    <row r="41" ht="42" customHeight="1" spans="1:12">
      <c r="A41" s="17">
        <v>46274</v>
      </c>
      <c r="B41" s="8">
        <v>6</v>
      </c>
      <c r="C41" s="6" t="s">
        <v>30</v>
      </c>
      <c r="D41" s="6" t="s">
        <v>61</v>
      </c>
      <c r="E41" s="6" t="s">
        <v>108</v>
      </c>
      <c r="F41" s="6" t="s">
        <v>111</v>
      </c>
      <c r="G41" s="6" t="s">
        <v>63</v>
      </c>
      <c r="H41" s="18">
        <v>1.5</v>
      </c>
      <c r="I41" s="26"/>
      <c r="J41" s="20" t="s">
        <v>64</v>
      </c>
      <c r="K41" s="20" t="s">
        <v>60</v>
      </c>
      <c r="L41" s="20" t="s">
        <v>60</v>
      </c>
    </row>
    <row r="42" ht="42" customHeight="1" spans="1:12">
      <c r="A42" s="17">
        <v>46275</v>
      </c>
      <c r="B42" s="8">
        <v>6</v>
      </c>
      <c r="C42" s="6" t="s">
        <v>30</v>
      </c>
      <c r="D42" s="6" t="s">
        <v>65</v>
      </c>
      <c r="E42" s="6" t="s">
        <v>108</v>
      </c>
      <c r="F42" s="6" t="s">
        <v>112</v>
      </c>
      <c r="G42" s="6" t="s">
        <v>67</v>
      </c>
      <c r="H42" s="18">
        <v>1.5</v>
      </c>
      <c r="I42" s="26"/>
      <c r="J42" s="20" t="s">
        <v>64</v>
      </c>
      <c r="K42" s="20" t="s">
        <v>60</v>
      </c>
      <c r="L42" s="20" t="s">
        <v>60</v>
      </c>
    </row>
    <row r="43" ht="42" customHeight="1" spans="1:12">
      <c r="A43" s="17">
        <v>46276</v>
      </c>
      <c r="B43" s="8">
        <v>6</v>
      </c>
      <c r="C43" s="6" t="s">
        <v>30</v>
      </c>
      <c r="D43" s="6" t="s">
        <v>68</v>
      </c>
      <c r="E43" s="6" t="s">
        <v>108</v>
      </c>
      <c r="F43" s="6" t="s">
        <v>113</v>
      </c>
      <c r="G43" s="6" t="s">
        <v>70</v>
      </c>
      <c r="H43" s="18">
        <v>1.5</v>
      </c>
      <c r="I43" s="26"/>
      <c r="J43" s="20" t="s">
        <v>64</v>
      </c>
      <c r="K43" s="20" t="s">
        <v>60</v>
      </c>
      <c r="L43" s="20" t="s">
        <v>60</v>
      </c>
    </row>
    <row r="44" ht="42" customHeight="1" spans="1:12">
      <c r="A44" s="17">
        <v>46277</v>
      </c>
      <c r="B44" s="8">
        <v>6</v>
      </c>
      <c r="C44" s="6" t="s">
        <v>30</v>
      </c>
      <c r="D44" s="6" t="s">
        <v>71</v>
      </c>
      <c r="E44" s="6" t="s">
        <v>108</v>
      </c>
      <c r="F44" s="6" t="s">
        <v>114</v>
      </c>
      <c r="G44" s="6"/>
      <c r="H44" s="18">
        <v>4</v>
      </c>
      <c r="I44" s="26"/>
      <c r="J44" s="20" t="s">
        <v>64</v>
      </c>
      <c r="K44" s="20" t="s">
        <v>60</v>
      </c>
      <c r="L44" s="20" t="s">
        <v>60</v>
      </c>
    </row>
    <row r="45" ht="42" customHeight="1" spans="1:12">
      <c r="A45" s="17">
        <v>46278</v>
      </c>
      <c r="B45" s="8">
        <v>6</v>
      </c>
      <c r="C45" s="6" t="s">
        <v>30</v>
      </c>
      <c r="D45" s="6" t="s">
        <v>73</v>
      </c>
      <c r="E45" s="6" t="s">
        <v>108</v>
      </c>
      <c r="F45" s="6" t="s">
        <v>115</v>
      </c>
      <c r="G45" s="6" t="s">
        <v>75</v>
      </c>
      <c r="H45" s="18">
        <v>1</v>
      </c>
      <c r="I45" s="26"/>
      <c r="J45" s="20" t="s">
        <v>64</v>
      </c>
      <c r="K45" s="20" t="s">
        <v>60</v>
      </c>
      <c r="L45" s="20" t="s">
        <v>60</v>
      </c>
    </row>
    <row r="46" ht="42" customHeight="1" spans="1:12">
      <c r="A46" s="17">
        <v>46279</v>
      </c>
      <c r="B46" s="8">
        <v>7</v>
      </c>
      <c r="C46" s="6" t="s">
        <v>30</v>
      </c>
      <c r="D46" s="6" t="s">
        <v>50</v>
      </c>
      <c r="E46" s="6" t="s">
        <v>116</v>
      </c>
      <c r="F46" s="6" t="s">
        <v>117</v>
      </c>
      <c r="G46" s="6" t="s">
        <v>53</v>
      </c>
      <c r="H46" s="18">
        <v>1.5</v>
      </c>
      <c r="I46" s="26"/>
      <c r="J46" s="20" t="s">
        <v>64</v>
      </c>
      <c r="K46" s="20" t="s">
        <v>60</v>
      </c>
      <c r="L46" s="20" t="s">
        <v>60</v>
      </c>
    </row>
    <row r="47" ht="42" customHeight="1" spans="1:12">
      <c r="A47" s="17">
        <v>46280</v>
      </c>
      <c r="B47" s="8">
        <v>7</v>
      </c>
      <c r="C47" s="6" t="s">
        <v>30</v>
      </c>
      <c r="D47" s="6" t="s">
        <v>56</v>
      </c>
      <c r="E47" s="6" t="s">
        <v>116</v>
      </c>
      <c r="F47" s="6" t="s">
        <v>118</v>
      </c>
      <c r="G47" s="6" t="s">
        <v>58</v>
      </c>
      <c r="H47" s="18">
        <v>1.5</v>
      </c>
      <c r="I47" s="26"/>
      <c r="J47" s="20" t="s">
        <v>64</v>
      </c>
      <c r="K47" s="20" t="s">
        <v>60</v>
      </c>
      <c r="L47" s="20" t="s">
        <v>60</v>
      </c>
    </row>
    <row r="48" ht="42" customHeight="1" spans="1:12">
      <c r="A48" s="17">
        <v>46281</v>
      </c>
      <c r="B48" s="8">
        <v>7</v>
      </c>
      <c r="C48" s="6" t="s">
        <v>30</v>
      </c>
      <c r="D48" s="6" t="s">
        <v>61</v>
      </c>
      <c r="E48" s="6" t="s">
        <v>116</v>
      </c>
      <c r="F48" s="6" t="s">
        <v>119</v>
      </c>
      <c r="G48" s="6" t="s">
        <v>63</v>
      </c>
      <c r="H48" s="18">
        <v>1.5</v>
      </c>
      <c r="I48" s="26"/>
      <c r="J48" s="20" t="s">
        <v>64</v>
      </c>
      <c r="K48" s="20" t="s">
        <v>60</v>
      </c>
      <c r="L48" s="20" t="s">
        <v>60</v>
      </c>
    </row>
    <row r="49" ht="42" customHeight="1" spans="1:12">
      <c r="A49" s="17">
        <v>46282</v>
      </c>
      <c r="B49" s="8">
        <v>7</v>
      </c>
      <c r="C49" s="6" t="s">
        <v>30</v>
      </c>
      <c r="D49" s="6" t="s">
        <v>65</v>
      </c>
      <c r="E49" s="6" t="s">
        <v>116</v>
      </c>
      <c r="F49" s="6" t="s">
        <v>120</v>
      </c>
      <c r="G49" s="6" t="s">
        <v>67</v>
      </c>
      <c r="H49" s="18">
        <v>1.5</v>
      </c>
      <c r="I49" s="26"/>
      <c r="J49" s="20" t="s">
        <v>64</v>
      </c>
      <c r="K49" s="20" t="s">
        <v>60</v>
      </c>
      <c r="L49" s="20" t="s">
        <v>60</v>
      </c>
    </row>
    <row r="50" ht="42" customHeight="1" spans="1:12">
      <c r="A50" s="17">
        <v>46283</v>
      </c>
      <c r="B50" s="8">
        <v>7</v>
      </c>
      <c r="C50" s="6" t="s">
        <v>30</v>
      </c>
      <c r="D50" s="6" t="s">
        <v>68</v>
      </c>
      <c r="E50" s="6" t="s">
        <v>116</v>
      </c>
      <c r="F50" s="6" t="s">
        <v>121</v>
      </c>
      <c r="G50" s="6" t="s">
        <v>70</v>
      </c>
      <c r="H50" s="18">
        <v>1.5</v>
      </c>
      <c r="I50" s="26"/>
      <c r="J50" s="20" t="s">
        <v>64</v>
      </c>
      <c r="K50" s="20" t="s">
        <v>60</v>
      </c>
      <c r="L50" s="20" t="s">
        <v>60</v>
      </c>
    </row>
    <row r="51" ht="42" customHeight="1" spans="1:12">
      <c r="A51" s="17">
        <v>46284</v>
      </c>
      <c r="B51" s="8">
        <v>7</v>
      </c>
      <c r="C51" s="6" t="s">
        <v>30</v>
      </c>
      <c r="D51" s="6" t="s">
        <v>71</v>
      </c>
      <c r="E51" s="6" t="s">
        <v>116</v>
      </c>
      <c r="F51" s="6" t="s">
        <v>122</v>
      </c>
      <c r="G51" s="6"/>
      <c r="H51" s="18">
        <v>4</v>
      </c>
      <c r="I51" s="26"/>
      <c r="J51" s="20" t="s">
        <v>64</v>
      </c>
      <c r="K51" s="20" t="s">
        <v>60</v>
      </c>
      <c r="L51" s="20" t="s">
        <v>60</v>
      </c>
    </row>
    <row r="52" ht="42" customHeight="1" spans="1:12">
      <c r="A52" s="17">
        <v>46285</v>
      </c>
      <c r="B52" s="8">
        <v>7</v>
      </c>
      <c r="C52" s="6" t="s">
        <v>30</v>
      </c>
      <c r="D52" s="6" t="s">
        <v>73</v>
      </c>
      <c r="E52" s="6" t="s">
        <v>116</v>
      </c>
      <c r="F52" s="6" t="s">
        <v>123</v>
      </c>
      <c r="G52" s="6" t="s">
        <v>75</v>
      </c>
      <c r="H52" s="18">
        <v>1</v>
      </c>
      <c r="I52" s="26"/>
      <c r="J52" s="20" t="s">
        <v>64</v>
      </c>
      <c r="K52" s="20" t="s">
        <v>60</v>
      </c>
      <c r="L52" s="20" t="s">
        <v>60</v>
      </c>
    </row>
    <row r="53" ht="42" customHeight="1" spans="1:12">
      <c r="A53" s="17">
        <v>46286</v>
      </c>
      <c r="B53" s="8">
        <v>8</v>
      </c>
      <c r="C53" s="6" t="s">
        <v>30</v>
      </c>
      <c r="D53" s="6" t="s">
        <v>50</v>
      </c>
      <c r="E53" s="6" t="s">
        <v>124</v>
      </c>
      <c r="F53" s="6" t="s">
        <v>125</v>
      </c>
      <c r="G53" s="6" t="s">
        <v>53</v>
      </c>
      <c r="H53" s="18">
        <v>1.5</v>
      </c>
      <c r="I53" s="26"/>
      <c r="J53" s="20" t="s">
        <v>64</v>
      </c>
      <c r="K53" s="20" t="s">
        <v>60</v>
      </c>
      <c r="L53" s="20" t="s">
        <v>60</v>
      </c>
    </row>
    <row r="54" ht="42" customHeight="1" spans="1:12">
      <c r="A54" s="17">
        <v>46287</v>
      </c>
      <c r="B54" s="8">
        <v>8</v>
      </c>
      <c r="C54" s="6" t="s">
        <v>30</v>
      </c>
      <c r="D54" s="6" t="s">
        <v>56</v>
      </c>
      <c r="E54" s="6" t="s">
        <v>124</v>
      </c>
      <c r="F54" s="6" t="s">
        <v>126</v>
      </c>
      <c r="G54" s="6" t="s">
        <v>58</v>
      </c>
      <c r="H54" s="18">
        <v>1.5</v>
      </c>
      <c r="I54" s="26"/>
      <c r="J54" s="20" t="s">
        <v>64</v>
      </c>
      <c r="K54" s="20" t="s">
        <v>60</v>
      </c>
      <c r="L54" s="20" t="s">
        <v>60</v>
      </c>
    </row>
    <row r="55" ht="42" customHeight="1" spans="1:12">
      <c r="A55" s="17">
        <v>46288</v>
      </c>
      <c r="B55" s="8">
        <v>8</v>
      </c>
      <c r="C55" s="6" t="s">
        <v>30</v>
      </c>
      <c r="D55" s="6" t="s">
        <v>61</v>
      </c>
      <c r="E55" s="6" t="s">
        <v>124</v>
      </c>
      <c r="F55" s="6" t="s">
        <v>127</v>
      </c>
      <c r="G55" s="6" t="s">
        <v>63</v>
      </c>
      <c r="H55" s="18">
        <v>1.5</v>
      </c>
      <c r="I55" s="26"/>
      <c r="J55" s="20" t="s">
        <v>64</v>
      </c>
      <c r="K55" s="20" t="s">
        <v>60</v>
      </c>
      <c r="L55" s="20" t="s">
        <v>60</v>
      </c>
    </row>
    <row r="56" ht="42" customHeight="1" spans="1:12">
      <c r="A56" s="17">
        <v>46289</v>
      </c>
      <c r="B56" s="8">
        <v>8</v>
      </c>
      <c r="C56" s="6" t="s">
        <v>30</v>
      </c>
      <c r="D56" s="6" t="s">
        <v>65</v>
      </c>
      <c r="E56" s="6" t="s">
        <v>124</v>
      </c>
      <c r="F56" s="6" t="s">
        <v>128</v>
      </c>
      <c r="G56" s="6" t="s">
        <v>67</v>
      </c>
      <c r="H56" s="18">
        <v>1.5</v>
      </c>
      <c r="I56" s="26"/>
      <c r="J56" s="20" t="s">
        <v>64</v>
      </c>
      <c r="K56" s="20" t="s">
        <v>60</v>
      </c>
      <c r="L56" s="20" t="s">
        <v>60</v>
      </c>
    </row>
    <row r="57" ht="42" customHeight="1" spans="1:12">
      <c r="A57" s="17">
        <v>46290</v>
      </c>
      <c r="B57" s="8">
        <v>8</v>
      </c>
      <c r="C57" s="6" t="s">
        <v>30</v>
      </c>
      <c r="D57" s="6" t="s">
        <v>68</v>
      </c>
      <c r="E57" s="6" t="s">
        <v>124</v>
      </c>
      <c r="F57" s="6" t="s">
        <v>129</v>
      </c>
      <c r="G57" s="6" t="s">
        <v>70</v>
      </c>
      <c r="H57" s="18">
        <v>1.5</v>
      </c>
      <c r="I57" s="26"/>
      <c r="J57" s="20" t="s">
        <v>64</v>
      </c>
      <c r="K57" s="20" t="s">
        <v>60</v>
      </c>
      <c r="L57" s="20" t="s">
        <v>60</v>
      </c>
    </row>
    <row r="58" ht="42" customHeight="1" spans="1:12">
      <c r="A58" s="17">
        <v>46291</v>
      </c>
      <c r="B58" s="8">
        <v>8</v>
      </c>
      <c r="C58" s="6" t="s">
        <v>30</v>
      </c>
      <c r="D58" s="6" t="s">
        <v>71</v>
      </c>
      <c r="E58" s="6" t="s">
        <v>124</v>
      </c>
      <c r="F58" s="6" t="s">
        <v>130</v>
      </c>
      <c r="G58" s="6"/>
      <c r="H58" s="18">
        <v>4</v>
      </c>
      <c r="I58" s="26"/>
      <c r="J58" s="20" t="s">
        <v>64</v>
      </c>
      <c r="K58" s="20" t="s">
        <v>60</v>
      </c>
      <c r="L58" s="20" t="s">
        <v>60</v>
      </c>
    </row>
    <row r="59" ht="42" customHeight="1" spans="1:12">
      <c r="A59" s="17">
        <v>46292</v>
      </c>
      <c r="B59" s="8">
        <v>8</v>
      </c>
      <c r="C59" s="6" t="s">
        <v>30</v>
      </c>
      <c r="D59" s="6" t="s">
        <v>73</v>
      </c>
      <c r="E59" s="6" t="s">
        <v>124</v>
      </c>
      <c r="F59" s="6" t="s">
        <v>131</v>
      </c>
      <c r="G59" s="6" t="s">
        <v>75</v>
      </c>
      <c r="H59" s="18">
        <v>1</v>
      </c>
      <c r="I59" s="26"/>
      <c r="J59" s="20" t="s">
        <v>64</v>
      </c>
      <c r="K59" s="20" t="s">
        <v>60</v>
      </c>
      <c r="L59" s="20" t="s">
        <v>60</v>
      </c>
    </row>
    <row r="60" ht="42" customHeight="1" spans="1:12">
      <c r="A60" s="17">
        <v>46293</v>
      </c>
      <c r="B60" s="8">
        <v>9</v>
      </c>
      <c r="C60" s="6" t="s">
        <v>30</v>
      </c>
      <c r="D60" s="6" t="s">
        <v>50</v>
      </c>
      <c r="E60" s="6" t="s">
        <v>132</v>
      </c>
      <c r="F60" s="6" t="s">
        <v>133</v>
      </c>
      <c r="G60" s="6" t="s">
        <v>53</v>
      </c>
      <c r="H60" s="18">
        <v>1.5</v>
      </c>
      <c r="I60" s="26"/>
      <c r="J60" s="20" t="s">
        <v>64</v>
      </c>
      <c r="K60" s="20" t="s">
        <v>60</v>
      </c>
      <c r="L60" s="20" t="s">
        <v>60</v>
      </c>
    </row>
    <row r="61" ht="42" customHeight="1" spans="1:12">
      <c r="A61" s="17">
        <v>46294</v>
      </c>
      <c r="B61" s="8">
        <v>9</v>
      </c>
      <c r="C61" s="6" t="s">
        <v>30</v>
      </c>
      <c r="D61" s="6" t="s">
        <v>56</v>
      </c>
      <c r="E61" s="6" t="s">
        <v>132</v>
      </c>
      <c r="F61" s="6" t="s">
        <v>134</v>
      </c>
      <c r="G61" s="6" t="s">
        <v>58</v>
      </c>
      <c r="H61" s="18">
        <v>1.5</v>
      </c>
      <c r="I61" s="26"/>
      <c r="J61" s="20" t="s">
        <v>64</v>
      </c>
      <c r="K61" s="20" t="s">
        <v>60</v>
      </c>
      <c r="L61" s="20" t="s">
        <v>60</v>
      </c>
    </row>
    <row r="62" ht="42" customHeight="1" spans="1:12">
      <c r="A62" s="17">
        <v>46295</v>
      </c>
      <c r="B62" s="8">
        <v>9</v>
      </c>
      <c r="C62" s="6" t="s">
        <v>30</v>
      </c>
      <c r="D62" s="6" t="s">
        <v>61</v>
      </c>
      <c r="E62" s="6" t="s">
        <v>132</v>
      </c>
      <c r="F62" s="6" t="s">
        <v>135</v>
      </c>
      <c r="G62" s="6" t="s">
        <v>63</v>
      </c>
      <c r="H62" s="18">
        <v>1.5</v>
      </c>
      <c r="I62" s="26"/>
      <c r="J62" s="20" t="s">
        <v>64</v>
      </c>
      <c r="K62" s="20" t="s">
        <v>60</v>
      </c>
      <c r="L62" s="20" t="s">
        <v>60</v>
      </c>
    </row>
    <row r="63" ht="42" customHeight="1" spans="1:12">
      <c r="A63" s="17">
        <v>46296</v>
      </c>
      <c r="B63" s="8">
        <v>9</v>
      </c>
      <c r="C63" s="6" t="s">
        <v>30</v>
      </c>
      <c r="D63" s="6" t="s">
        <v>65</v>
      </c>
      <c r="E63" s="6" t="s">
        <v>132</v>
      </c>
      <c r="F63" s="6" t="s">
        <v>136</v>
      </c>
      <c r="G63" s="6" t="s">
        <v>67</v>
      </c>
      <c r="H63" s="18">
        <v>1.5</v>
      </c>
      <c r="I63" s="26"/>
      <c r="J63" s="20" t="s">
        <v>64</v>
      </c>
      <c r="K63" s="20" t="s">
        <v>60</v>
      </c>
      <c r="L63" s="20" t="s">
        <v>60</v>
      </c>
    </row>
    <row r="64" ht="42" customHeight="1" spans="1:12">
      <c r="A64" s="17">
        <v>46297</v>
      </c>
      <c r="B64" s="8">
        <v>9</v>
      </c>
      <c r="C64" s="6" t="s">
        <v>30</v>
      </c>
      <c r="D64" s="6" t="s">
        <v>68</v>
      </c>
      <c r="E64" s="6" t="s">
        <v>132</v>
      </c>
      <c r="F64" s="6" t="s">
        <v>137</v>
      </c>
      <c r="G64" s="6" t="s">
        <v>70</v>
      </c>
      <c r="H64" s="18">
        <v>1.5</v>
      </c>
      <c r="I64" s="26"/>
      <c r="J64" s="20" t="s">
        <v>64</v>
      </c>
      <c r="K64" s="20" t="s">
        <v>60</v>
      </c>
      <c r="L64" s="20" t="s">
        <v>60</v>
      </c>
    </row>
    <row r="65" ht="42" customHeight="1" spans="1:12">
      <c r="A65" s="17">
        <v>46298</v>
      </c>
      <c r="B65" s="8">
        <v>9</v>
      </c>
      <c r="C65" s="6" t="s">
        <v>30</v>
      </c>
      <c r="D65" s="6" t="s">
        <v>71</v>
      </c>
      <c r="E65" s="6" t="s">
        <v>132</v>
      </c>
      <c r="F65" s="6" t="s">
        <v>138</v>
      </c>
      <c r="G65" s="6"/>
      <c r="H65" s="18">
        <v>4</v>
      </c>
      <c r="I65" s="26"/>
      <c r="J65" s="20" t="s">
        <v>64</v>
      </c>
      <c r="K65" s="20" t="s">
        <v>60</v>
      </c>
      <c r="L65" s="20" t="s">
        <v>60</v>
      </c>
    </row>
    <row r="66" ht="42" customHeight="1" spans="1:12">
      <c r="A66" s="17">
        <v>46299</v>
      </c>
      <c r="B66" s="8">
        <v>9</v>
      </c>
      <c r="C66" s="6" t="s">
        <v>30</v>
      </c>
      <c r="D66" s="6" t="s">
        <v>73</v>
      </c>
      <c r="E66" s="6" t="s">
        <v>132</v>
      </c>
      <c r="F66" s="6" t="s">
        <v>139</v>
      </c>
      <c r="G66" s="6" t="s">
        <v>75</v>
      </c>
      <c r="H66" s="18">
        <v>1</v>
      </c>
      <c r="I66" s="26"/>
      <c r="J66" s="20" t="s">
        <v>64</v>
      </c>
      <c r="K66" s="20" t="s">
        <v>60</v>
      </c>
      <c r="L66" s="20" t="s">
        <v>60</v>
      </c>
    </row>
    <row r="67" ht="42" customHeight="1" spans="1:12">
      <c r="A67" s="17">
        <v>46300</v>
      </c>
      <c r="B67" s="8">
        <v>10</v>
      </c>
      <c r="C67" s="6" t="s">
        <v>30</v>
      </c>
      <c r="D67" s="6" t="s">
        <v>50</v>
      </c>
      <c r="E67" s="6" t="s">
        <v>140</v>
      </c>
      <c r="F67" s="6" t="s">
        <v>141</v>
      </c>
      <c r="G67" s="6" t="s">
        <v>53</v>
      </c>
      <c r="H67" s="18">
        <v>1.5</v>
      </c>
      <c r="I67" s="26"/>
      <c r="J67" s="20" t="s">
        <v>64</v>
      </c>
      <c r="K67" s="20" t="s">
        <v>60</v>
      </c>
      <c r="L67" s="20" t="s">
        <v>60</v>
      </c>
    </row>
    <row r="68" ht="42" customHeight="1" spans="1:12">
      <c r="A68" s="17">
        <v>46301</v>
      </c>
      <c r="B68" s="8">
        <v>10</v>
      </c>
      <c r="C68" s="6" t="s">
        <v>30</v>
      </c>
      <c r="D68" s="6" t="s">
        <v>56</v>
      </c>
      <c r="E68" s="6" t="s">
        <v>140</v>
      </c>
      <c r="F68" s="6" t="s">
        <v>142</v>
      </c>
      <c r="G68" s="6" t="s">
        <v>58</v>
      </c>
      <c r="H68" s="18">
        <v>1.5</v>
      </c>
      <c r="I68" s="26"/>
      <c r="J68" s="20" t="s">
        <v>64</v>
      </c>
      <c r="K68" s="20" t="s">
        <v>60</v>
      </c>
      <c r="L68" s="20" t="s">
        <v>60</v>
      </c>
    </row>
    <row r="69" ht="42" customHeight="1" spans="1:12">
      <c r="A69" s="17">
        <v>46302</v>
      </c>
      <c r="B69" s="8">
        <v>10</v>
      </c>
      <c r="C69" s="6" t="s">
        <v>30</v>
      </c>
      <c r="D69" s="6" t="s">
        <v>61</v>
      </c>
      <c r="E69" s="6" t="s">
        <v>140</v>
      </c>
      <c r="F69" s="6" t="s">
        <v>143</v>
      </c>
      <c r="G69" s="6" t="s">
        <v>63</v>
      </c>
      <c r="H69" s="18">
        <v>1.5</v>
      </c>
      <c r="I69" s="26"/>
      <c r="J69" s="20" t="s">
        <v>64</v>
      </c>
      <c r="K69" s="20" t="s">
        <v>60</v>
      </c>
      <c r="L69" s="20" t="s">
        <v>60</v>
      </c>
    </row>
    <row r="70" ht="42" customHeight="1" spans="1:12">
      <c r="A70" s="17">
        <v>46303</v>
      </c>
      <c r="B70" s="8">
        <v>10</v>
      </c>
      <c r="C70" s="6" t="s">
        <v>30</v>
      </c>
      <c r="D70" s="6" t="s">
        <v>65</v>
      </c>
      <c r="E70" s="6" t="s">
        <v>140</v>
      </c>
      <c r="F70" s="6" t="s">
        <v>144</v>
      </c>
      <c r="G70" s="6" t="s">
        <v>67</v>
      </c>
      <c r="H70" s="18">
        <v>1.5</v>
      </c>
      <c r="I70" s="26"/>
      <c r="J70" s="20" t="s">
        <v>64</v>
      </c>
      <c r="K70" s="20" t="s">
        <v>60</v>
      </c>
      <c r="L70" s="20" t="s">
        <v>60</v>
      </c>
    </row>
    <row r="71" ht="42" customHeight="1" spans="1:12">
      <c r="A71" s="17">
        <v>46304</v>
      </c>
      <c r="B71" s="8">
        <v>10</v>
      </c>
      <c r="C71" s="6" t="s">
        <v>30</v>
      </c>
      <c r="D71" s="6" t="s">
        <v>68</v>
      </c>
      <c r="E71" s="6" t="s">
        <v>140</v>
      </c>
      <c r="F71" s="6" t="s">
        <v>145</v>
      </c>
      <c r="G71" s="6" t="s">
        <v>70</v>
      </c>
      <c r="H71" s="18">
        <v>1.5</v>
      </c>
      <c r="I71" s="26"/>
      <c r="J71" s="20" t="s">
        <v>64</v>
      </c>
      <c r="K71" s="20" t="s">
        <v>60</v>
      </c>
      <c r="L71" s="20" t="s">
        <v>60</v>
      </c>
    </row>
    <row r="72" ht="42" customHeight="1" spans="1:12">
      <c r="A72" s="17">
        <v>46305</v>
      </c>
      <c r="B72" s="8">
        <v>10</v>
      </c>
      <c r="C72" s="6" t="s">
        <v>30</v>
      </c>
      <c r="D72" s="6" t="s">
        <v>71</v>
      </c>
      <c r="E72" s="6" t="s">
        <v>140</v>
      </c>
      <c r="F72" s="6" t="s">
        <v>146</v>
      </c>
      <c r="G72" s="6"/>
      <c r="H72" s="18">
        <v>4</v>
      </c>
      <c r="I72" s="26"/>
      <c r="J72" s="20" t="s">
        <v>64</v>
      </c>
      <c r="K72" s="20" t="s">
        <v>60</v>
      </c>
      <c r="L72" s="20" t="s">
        <v>60</v>
      </c>
    </row>
    <row r="73" ht="42" customHeight="1" spans="1:12">
      <c r="A73" s="17">
        <v>46306</v>
      </c>
      <c r="B73" s="8">
        <v>10</v>
      </c>
      <c r="C73" s="6" t="s">
        <v>30</v>
      </c>
      <c r="D73" s="6" t="s">
        <v>73</v>
      </c>
      <c r="E73" s="6" t="s">
        <v>140</v>
      </c>
      <c r="F73" s="6" t="s">
        <v>147</v>
      </c>
      <c r="G73" s="6" t="s">
        <v>75</v>
      </c>
      <c r="H73" s="18">
        <v>1</v>
      </c>
      <c r="I73" s="26"/>
      <c r="J73" s="20" t="s">
        <v>64</v>
      </c>
      <c r="K73" s="20" t="s">
        <v>60</v>
      </c>
      <c r="L73" s="20" t="s">
        <v>60</v>
      </c>
    </row>
    <row r="74" ht="42" customHeight="1" spans="1:12">
      <c r="A74" s="17">
        <v>46307</v>
      </c>
      <c r="B74" s="8">
        <v>11</v>
      </c>
      <c r="C74" s="6" t="s">
        <v>30</v>
      </c>
      <c r="D74" s="6" t="s">
        <v>50</v>
      </c>
      <c r="E74" s="6" t="s">
        <v>148</v>
      </c>
      <c r="F74" s="6" t="s">
        <v>149</v>
      </c>
      <c r="G74" s="6" t="s">
        <v>53</v>
      </c>
      <c r="H74" s="18">
        <v>1.5</v>
      </c>
      <c r="I74" s="26"/>
      <c r="J74" s="20" t="s">
        <v>64</v>
      </c>
      <c r="K74" s="20" t="s">
        <v>60</v>
      </c>
      <c r="L74" s="20" t="s">
        <v>60</v>
      </c>
    </row>
    <row r="75" ht="42" customHeight="1" spans="1:12">
      <c r="A75" s="17">
        <v>46308</v>
      </c>
      <c r="B75" s="8">
        <v>11</v>
      </c>
      <c r="C75" s="6" t="s">
        <v>30</v>
      </c>
      <c r="D75" s="6" t="s">
        <v>56</v>
      </c>
      <c r="E75" s="6" t="s">
        <v>148</v>
      </c>
      <c r="F75" s="6" t="s">
        <v>150</v>
      </c>
      <c r="G75" s="6" t="s">
        <v>58</v>
      </c>
      <c r="H75" s="18">
        <v>1.5</v>
      </c>
      <c r="I75" s="26"/>
      <c r="J75" s="20" t="s">
        <v>64</v>
      </c>
      <c r="K75" s="20" t="s">
        <v>60</v>
      </c>
      <c r="L75" s="20" t="s">
        <v>60</v>
      </c>
    </row>
    <row r="76" ht="42" customHeight="1" spans="1:12">
      <c r="A76" s="17">
        <v>46309</v>
      </c>
      <c r="B76" s="8">
        <v>11</v>
      </c>
      <c r="C76" s="6" t="s">
        <v>30</v>
      </c>
      <c r="D76" s="6" t="s">
        <v>61</v>
      </c>
      <c r="E76" s="6" t="s">
        <v>148</v>
      </c>
      <c r="F76" s="6" t="s">
        <v>151</v>
      </c>
      <c r="G76" s="6" t="s">
        <v>63</v>
      </c>
      <c r="H76" s="18">
        <v>1.5</v>
      </c>
      <c r="I76" s="26"/>
      <c r="J76" s="20" t="s">
        <v>64</v>
      </c>
      <c r="K76" s="20" t="s">
        <v>60</v>
      </c>
      <c r="L76" s="20" t="s">
        <v>60</v>
      </c>
    </row>
    <row r="77" ht="42" customHeight="1" spans="1:12">
      <c r="A77" s="17">
        <v>46310</v>
      </c>
      <c r="B77" s="8">
        <v>11</v>
      </c>
      <c r="C77" s="6" t="s">
        <v>30</v>
      </c>
      <c r="D77" s="6" t="s">
        <v>65</v>
      </c>
      <c r="E77" s="6" t="s">
        <v>148</v>
      </c>
      <c r="F77" s="6" t="s">
        <v>152</v>
      </c>
      <c r="G77" s="6" t="s">
        <v>67</v>
      </c>
      <c r="H77" s="18">
        <v>1.5</v>
      </c>
      <c r="I77" s="26"/>
      <c r="J77" s="20" t="s">
        <v>64</v>
      </c>
      <c r="K77" s="20" t="s">
        <v>60</v>
      </c>
      <c r="L77" s="20" t="s">
        <v>60</v>
      </c>
    </row>
    <row r="78" ht="42" customHeight="1" spans="1:12">
      <c r="A78" s="17">
        <v>46311</v>
      </c>
      <c r="B78" s="8">
        <v>11</v>
      </c>
      <c r="C78" s="6" t="s">
        <v>30</v>
      </c>
      <c r="D78" s="6" t="s">
        <v>68</v>
      </c>
      <c r="E78" s="6" t="s">
        <v>148</v>
      </c>
      <c r="F78" s="6" t="s">
        <v>153</v>
      </c>
      <c r="G78" s="6" t="s">
        <v>70</v>
      </c>
      <c r="H78" s="18">
        <v>1.5</v>
      </c>
      <c r="I78" s="26"/>
      <c r="J78" s="20" t="s">
        <v>64</v>
      </c>
      <c r="K78" s="20" t="s">
        <v>60</v>
      </c>
      <c r="L78" s="20" t="s">
        <v>60</v>
      </c>
    </row>
    <row r="79" ht="42" customHeight="1" spans="1:12">
      <c r="A79" s="17">
        <v>46312</v>
      </c>
      <c r="B79" s="8">
        <v>11</v>
      </c>
      <c r="C79" s="6" t="s">
        <v>30</v>
      </c>
      <c r="D79" s="6" t="s">
        <v>71</v>
      </c>
      <c r="E79" s="6" t="s">
        <v>148</v>
      </c>
      <c r="F79" s="6" t="s">
        <v>154</v>
      </c>
      <c r="G79" s="6"/>
      <c r="H79" s="18">
        <v>4</v>
      </c>
      <c r="I79" s="26"/>
      <c r="J79" s="20" t="s">
        <v>64</v>
      </c>
      <c r="K79" s="20" t="s">
        <v>60</v>
      </c>
      <c r="L79" s="20" t="s">
        <v>60</v>
      </c>
    </row>
    <row r="80" ht="42" customHeight="1" spans="1:12">
      <c r="A80" s="17">
        <v>46313</v>
      </c>
      <c r="B80" s="8">
        <v>11</v>
      </c>
      <c r="C80" s="6" t="s">
        <v>30</v>
      </c>
      <c r="D80" s="6" t="s">
        <v>73</v>
      </c>
      <c r="E80" s="6" t="s">
        <v>148</v>
      </c>
      <c r="F80" s="6" t="s">
        <v>155</v>
      </c>
      <c r="G80" s="6" t="s">
        <v>75</v>
      </c>
      <c r="H80" s="18">
        <v>1</v>
      </c>
      <c r="I80" s="26"/>
      <c r="J80" s="20" t="s">
        <v>64</v>
      </c>
      <c r="K80" s="20" t="s">
        <v>60</v>
      </c>
      <c r="L80" s="20" t="s">
        <v>60</v>
      </c>
    </row>
    <row r="81" ht="42" customHeight="1" spans="1:12">
      <c r="A81" s="17">
        <v>46314</v>
      </c>
      <c r="B81" s="8">
        <v>12</v>
      </c>
      <c r="C81" s="6" t="s">
        <v>30</v>
      </c>
      <c r="D81" s="6" t="s">
        <v>50</v>
      </c>
      <c r="E81" s="6" t="s">
        <v>156</v>
      </c>
      <c r="F81" s="6" t="s">
        <v>157</v>
      </c>
      <c r="G81" s="6" t="s">
        <v>53</v>
      </c>
      <c r="H81" s="18">
        <v>1.5</v>
      </c>
      <c r="I81" s="26"/>
      <c r="J81" s="20" t="s">
        <v>64</v>
      </c>
      <c r="K81" s="20" t="s">
        <v>60</v>
      </c>
      <c r="L81" s="20" t="s">
        <v>60</v>
      </c>
    </row>
    <row r="82" ht="42" customHeight="1" spans="1:12">
      <c r="A82" s="17">
        <v>46315</v>
      </c>
      <c r="B82" s="8">
        <v>12</v>
      </c>
      <c r="C82" s="6" t="s">
        <v>30</v>
      </c>
      <c r="D82" s="6" t="s">
        <v>56</v>
      </c>
      <c r="E82" s="6" t="s">
        <v>156</v>
      </c>
      <c r="F82" s="6" t="s">
        <v>158</v>
      </c>
      <c r="G82" s="6" t="s">
        <v>58</v>
      </c>
      <c r="H82" s="18">
        <v>1.5</v>
      </c>
      <c r="I82" s="26"/>
      <c r="J82" s="20" t="s">
        <v>64</v>
      </c>
      <c r="K82" s="20" t="s">
        <v>60</v>
      </c>
      <c r="L82" s="20" t="s">
        <v>60</v>
      </c>
    </row>
    <row r="83" ht="42" customHeight="1" spans="1:12">
      <c r="A83" s="17">
        <v>46316</v>
      </c>
      <c r="B83" s="8">
        <v>12</v>
      </c>
      <c r="C83" s="6" t="s">
        <v>30</v>
      </c>
      <c r="D83" s="6" t="s">
        <v>61</v>
      </c>
      <c r="E83" s="6" t="s">
        <v>156</v>
      </c>
      <c r="F83" s="6" t="s">
        <v>159</v>
      </c>
      <c r="G83" s="6" t="s">
        <v>63</v>
      </c>
      <c r="H83" s="18">
        <v>1.5</v>
      </c>
      <c r="I83" s="26"/>
      <c r="J83" s="20" t="s">
        <v>64</v>
      </c>
      <c r="K83" s="20" t="s">
        <v>60</v>
      </c>
      <c r="L83" s="20" t="s">
        <v>60</v>
      </c>
    </row>
    <row r="84" ht="42" customHeight="1" spans="1:12">
      <c r="A84" s="17">
        <v>46317</v>
      </c>
      <c r="B84" s="8">
        <v>12</v>
      </c>
      <c r="C84" s="6" t="s">
        <v>30</v>
      </c>
      <c r="D84" s="6" t="s">
        <v>65</v>
      </c>
      <c r="E84" s="6" t="s">
        <v>156</v>
      </c>
      <c r="F84" s="6" t="s">
        <v>160</v>
      </c>
      <c r="G84" s="6" t="s">
        <v>67</v>
      </c>
      <c r="H84" s="18">
        <v>1.5</v>
      </c>
      <c r="I84" s="26"/>
      <c r="J84" s="20" t="s">
        <v>64</v>
      </c>
      <c r="K84" s="20" t="s">
        <v>60</v>
      </c>
      <c r="L84" s="20" t="s">
        <v>60</v>
      </c>
    </row>
    <row r="85" ht="42" customHeight="1" spans="1:12">
      <c r="A85" s="17">
        <v>46318</v>
      </c>
      <c r="B85" s="8">
        <v>12</v>
      </c>
      <c r="C85" s="6" t="s">
        <v>30</v>
      </c>
      <c r="D85" s="6" t="s">
        <v>68</v>
      </c>
      <c r="E85" s="6" t="s">
        <v>156</v>
      </c>
      <c r="F85" s="6" t="s">
        <v>161</v>
      </c>
      <c r="G85" s="6" t="s">
        <v>70</v>
      </c>
      <c r="H85" s="18">
        <v>1.5</v>
      </c>
      <c r="I85" s="26"/>
      <c r="J85" s="20" t="s">
        <v>64</v>
      </c>
      <c r="K85" s="20" t="s">
        <v>60</v>
      </c>
      <c r="L85" s="20" t="s">
        <v>60</v>
      </c>
    </row>
    <row r="86" ht="42" customHeight="1" spans="1:12">
      <c r="A86" s="17">
        <v>46319</v>
      </c>
      <c r="B86" s="8">
        <v>12</v>
      </c>
      <c r="C86" s="6" t="s">
        <v>30</v>
      </c>
      <c r="D86" s="6" t="s">
        <v>71</v>
      </c>
      <c r="E86" s="6" t="s">
        <v>156</v>
      </c>
      <c r="F86" s="6" t="s">
        <v>162</v>
      </c>
      <c r="G86" s="6"/>
      <c r="H86" s="18">
        <v>4</v>
      </c>
      <c r="I86" s="26"/>
      <c r="J86" s="20" t="s">
        <v>64</v>
      </c>
      <c r="K86" s="20" t="s">
        <v>60</v>
      </c>
      <c r="L86" s="20" t="s">
        <v>60</v>
      </c>
    </row>
    <row r="87" ht="42" customHeight="1" spans="1:12">
      <c r="A87" s="17">
        <v>46320</v>
      </c>
      <c r="B87" s="8">
        <v>12</v>
      </c>
      <c r="C87" s="6" t="s">
        <v>30</v>
      </c>
      <c r="D87" s="6" t="s">
        <v>73</v>
      </c>
      <c r="E87" s="6" t="s">
        <v>156</v>
      </c>
      <c r="F87" s="6" t="s">
        <v>163</v>
      </c>
      <c r="G87" s="6" t="s">
        <v>75</v>
      </c>
      <c r="H87" s="18">
        <v>1</v>
      </c>
      <c r="I87" s="26"/>
      <c r="J87" s="20" t="s">
        <v>64</v>
      </c>
      <c r="K87" s="20" t="s">
        <v>60</v>
      </c>
      <c r="L87" s="20" t="s">
        <v>60</v>
      </c>
    </row>
    <row r="88" ht="42" customHeight="1" spans="1:12">
      <c r="A88" s="17">
        <v>46321</v>
      </c>
      <c r="B88" s="8">
        <v>13</v>
      </c>
      <c r="C88" s="6" t="s">
        <v>30</v>
      </c>
      <c r="D88" s="6" t="s">
        <v>50</v>
      </c>
      <c r="E88" s="6" t="s">
        <v>164</v>
      </c>
      <c r="F88" s="6" t="s">
        <v>165</v>
      </c>
      <c r="G88" s="6" t="s">
        <v>53</v>
      </c>
      <c r="H88" s="18">
        <v>1.5</v>
      </c>
      <c r="I88" s="26"/>
      <c r="J88" s="20" t="s">
        <v>64</v>
      </c>
      <c r="K88" s="20" t="s">
        <v>60</v>
      </c>
      <c r="L88" s="20" t="s">
        <v>60</v>
      </c>
    </row>
    <row r="89" ht="42" customHeight="1" spans="1:12">
      <c r="A89" s="17">
        <v>46322</v>
      </c>
      <c r="B89" s="8">
        <v>13</v>
      </c>
      <c r="C89" s="6" t="s">
        <v>30</v>
      </c>
      <c r="D89" s="6" t="s">
        <v>56</v>
      </c>
      <c r="E89" s="6" t="s">
        <v>164</v>
      </c>
      <c r="F89" s="6" t="s">
        <v>166</v>
      </c>
      <c r="G89" s="6" t="s">
        <v>58</v>
      </c>
      <c r="H89" s="18">
        <v>1.5</v>
      </c>
      <c r="I89" s="26"/>
      <c r="J89" s="20" t="s">
        <v>64</v>
      </c>
      <c r="K89" s="20" t="s">
        <v>60</v>
      </c>
      <c r="L89" s="20" t="s">
        <v>60</v>
      </c>
    </row>
    <row r="90" ht="42" customHeight="1" spans="1:12">
      <c r="A90" s="17">
        <v>46323</v>
      </c>
      <c r="B90" s="8">
        <v>13</v>
      </c>
      <c r="C90" s="6" t="s">
        <v>30</v>
      </c>
      <c r="D90" s="6" t="s">
        <v>61</v>
      </c>
      <c r="E90" s="6" t="s">
        <v>164</v>
      </c>
      <c r="F90" s="6" t="s">
        <v>167</v>
      </c>
      <c r="G90" s="6" t="s">
        <v>63</v>
      </c>
      <c r="H90" s="18">
        <v>1.5</v>
      </c>
      <c r="I90" s="26"/>
      <c r="J90" s="20" t="s">
        <v>64</v>
      </c>
      <c r="K90" s="20" t="s">
        <v>60</v>
      </c>
      <c r="L90" s="20" t="s">
        <v>60</v>
      </c>
    </row>
    <row r="91" ht="42" customHeight="1" spans="1:12">
      <c r="A91" s="17">
        <v>46324</v>
      </c>
      <c r="B91" s="8">
        <v>13</v>
      </c>
      <c r="C91" s="6" t="s">
        <v>30</v>
      </c>
      <c r="D91" s="6" t="s">
        <v>65</v>
      </c>
      <c r="E91" s="6" t="s">
        <v>164</v>
      </c>
      <c r="F91" s="6" t="s">
        <v>168</v>
      </c>
      <c r="G91" s="6" t="s">
        <v>67</v>
      </c>
      <c r="H91" s="18">
        <v>1.5</v>
      </c>
      <c r="I91" s="26"/>
      <c r="J91" s="20" t="s">
        <v>64</v>
      </c>
      <c r="K91" s="20" t="s">
        <v>60</v>
      </c>
      <c r="L91" s="20" t="s">
        <v>60</v>
      </c>
    </row>
    <row r="92" ht="42" customHeight="1" spans="1:12">
      <c r="A92" s="17">
        <v>46325</v>
      </c>
      <c r="B92" s="8">
        <v>13</v>
      </c>
      <c r="C92" s="6" t="s">
        <v>30</v>
      </c>
      <c r="D92" s="6" t="s">
        <v>68</v>
      </c>
      <c r="E92" s="6" t="s">
        <v>164</v>
      </c>
      <c r="F92" s="6" t="s">
        <v>169</v>
      </c>
      <c r="G92" s="6" t="s">
        <v>70</v>
      </c>
      <c r="H92" s="18">
        <v>1.5</v>
      </c>
      <c r="I92" s="26"/>
      <c r="J92" s="20" t="s">
        <v>64</v>
      </c>
      <c r="K92" s="20" t="s">
        <v>60</v>
      </c>
      <c r="L92" s="20" t="s">
        <v>60</v>
      </c>
    </row>
    <row r="93" ht="42" customHeight="1" spans="1:12">
      <c r="A93" s="17">
        <v>46326</v>
      </c>
      <c r="B93" s="8">
        <v>13</v>
      </c>
      <c r="C93" s="6" t="s">
        <v>30</v>
      </c>
      <c r="D93" s="6" t="s">
        <v>71</v>
      </c>
      <c r="E93" s="6" t="s">
        <v>164</v>
      </c>
      <c r="F93" s="6" t="s">
        <v>170</v>
      </c>
      <c r="G93" s="6"/>
      <c r="H93" s="18">
        <v>4</v>
      </c>
      <c r="I93" s="26"/>
      <c r="J93" s="20" t="s">
        <v>64</v>
      </c>
      <c r="K93" s="20" t="s">
        <v>60</v>
      </c>
      <c r="L93" s="20" t="s">
        <v>60</v>
      </c>
    </row>
    <row r="94" ht="42" customHeight="1" spans="1:12">
      <c r="A94" s="17">
        <v>46327</v>
      </c>
      <c r="B94" s="8">
        <v>13</v>
      </c>
      <c r="C94" s="6" t="s">
        <v>30</v>
      </c>
      <c r="D94" s="6" t="s">
        <v>73</v>
      </c>
      <c r="E94" s="6" t="s">
        <v>164</v>
      </c>
      <c r="F94" s="6" t="s">
        <v>171</v>
      </c>
      <c r="G94" s="6" t="s">
        <v>75</v>
      </c>
      <c r="H94" s="18">
        <v>1</v>
      </c>
      <c r="I94" s="26"/>
      <c r="J94" s="20" t="s">
        <v>64</v>
      </c>
      <c r="K94" s="20" t="s">
        <v>60</v>
      </c>
      <c r="L94" s="20" t="s">
        <v>60</v>
      </c>
    </row>
    <row r="95" ht="42" customHeight="1" spans="1:12">
      <c r="A95" s="17">
        <v>46328</v>
      </c>
      <c r="B95" s="8">
        <v>14</v>
      </c>
      <c r="C95" s="6" t="s">
        <v>31</v>
      </c>
      <c r="D95" s="6" t="s">
        <v>50</v>
      </c>
      <c r="E95" s="6" t="s">
        <v>172</v>
      </c>
      <c r="F95" s="6" t="s">
        <v>173</v>
      </c>
      <c r="G95" s="6" t="s">
        <v>53</v>
      </c>
      <c r="H95" s="18">
        <v>1.5</v>
      </c>
      <c r="I95" s="26"/>
      <c r="J95" s="20" t="s">
        <v>64</v>
      </c>
      <c r="K95" s="20" t="s">
        <v>60</v>
      </c>
      <c r="L95" s="20" t="s">
        <v>60</v>
      </c>
    </row>
    <row r="96" ht="42" customHeight="1" spans="1:12">
      <c r="A96" s="17">
        <v>46329</v>
      </c>
      <c r="B96" s="8">
        <v>14</v>
      </c>
      <c r="C96" s="6" t="s">
        <v>31</v>
      </c>
      <c r="D96" s="6" t="s">
        <v>56</v>
      </c>
      <c r="E96" s="6" t="s">
        <v>172</v>
      </c>
      <c r="F96" s="6" t="s">
        <v>174</v>
      </c>
      <c r="G96" s="6" t="s">
        <v>58</v>
      </c>
      <c r="H96" s="18">
        <v>1.5</v>
      </c>
      <c r="I96" s="26"/>
      <c r="J96" s="20" t="s">
        <v>64</v>
      </c>
      <c r="K96" s="20" t="s">
        <v>60</v>
      </c>
      <c r="L96" s="20" t="s">
        <v>60</v>
      </c>
    </row>
    <row r="97" ht="42" customHeight="1" spans="1:12">
      <c r="A97" s="17">
        <v>46330</v>
      </c>
      <c r="B97" s="8">
        <v>14</v>
      </c>
      <c r="C97" s="6" t="s">
        <v>31</v>
      </c>
      <c r="D97" s="6" t="s">
        <v>61</v>
      </c>
      <c r="E97" s="6" t="s">
        <v>172</v>
      </c>
      <c r="F97" s="6" t="s">
        <v>175</v>
      </c>
      <c r="G97" s="6" t="s">
        <v>63</v>
      </c>
      <c r="H97" s="18">
        <v>1.5</v>
      </c>
      <c r="I97" s="26"/>
      <c r="J97" s="20" t="s">
        <v>64</v>
      </c>
      <c r="K97" s="20" t="s">
        <v>60</v>
      </c>
      <c r="L97" s="20" t="s">
        <v>60</v>
      </c>
    </row>
    <row r="98" ht="42" customHeight="1" spans="1:12">
      <c r="A98" s="17">
        <v>46331</v>
      </c>
      <c r="B98" s="8">
        <v>14</v>
      </c>
      <c r="C98" s="6" t="s">
        <v>31</v>
      </c>
      <c r="D98" s="6" t="s">
        <v>65</v>
      </c>
      <c r="E98" s="6" t="s">
        <v>172</v>
      </c>
      <c r="F98" s="6" t="s">
        <v>176</v>
      </c>
      <c r="G98" s="6" t="s">
        <v>67</v>
      </c>
      <c r="H98" s="18">
        <v>1.5</v>
      </c>
      <c r="I98" s="26"/>
      <c r="J98" s="20" t="s">
        <v>64</v>
      </c>
      <c r="K98" s="20" t="s">
        <v>60</v>
      </c>
      <c r="L98" s="20" t="s">
        <v>60</v>
      </c>
    </row>
    <row r="99" ht="42" customHeight="1" spans="1:12">
      <c r="A99" s="17">
        <v>46332</v>
      </c>
      <c r="B99" s="8">
        <v>14</v>
      </c>
      <c r="C99" s="6" t="s">
        <v>31</v>
      </c>
      <c r="D99" s="6" t="s">
        <v>68</v>
      </c>
      <c r="E99" s="6" t="s">
        <v>172</v>
      </c>
      <c r="F99" s="6" t="s">
        <v>177</v>
      </c>
      <c r="G99" s="6" t="s">
        <v>70</v>
      </c>
      <c r="H99" s="18">
        <v>1.5</v>
      </c>
      <c r="I99" s="26"/>
      <c r="J99" s="20" t="s">
        <v>64</v>
      </c>
      <c r="K99" s="20" t="s">
        <v>60</v>
      </c>
      <c r="L99" s="20" t="s">
        <v>60</v>
      </c>
    </row>
    <row r="100" ht="42" customHeight="1" spans="1:12">
      <c r="A100" s="17">
        <v>46333</v>
      </c>
      <c r="B100" s="8">
        <v>14</v>
      </c>
      <c r="C100" s="6" t="s">
        <v>31</v>
      </c>
      <c r="D100" s="6" t="s">
        <v>71</v>
      </c>
      <c r="E100" s="6" t="s">
        <v>172</v>
      </c>
      <c r="F100" s="6" t="s">
        <v>178</v>
      </c>
      <c r="G100" s="6"/>
      <c r="H100" s="18">
        <v>4</v>
      </c>
      <c r="I100" s="26"/>
      <c r="J100" s="20" t="s">
        <v>64</v>
      </c>
      <c r="K100" s="20" t="s">
        <v>60</v>
      </c>
      <c r="L100" s="20" t="s">
        <v>60</v>
      </c>
    </row>
    <row r="101" ht="42" customHeight="1" spans="1:12">
      <c r="A101" s="17">
        <v>46334</v>
      </c>
      <c r="B101" s="8">
        <v>14</v>
      </c>
      <c r="C101" s="6" t="s">
        <v>31</v>
      </c>
      <c r="D101" s="6" t="s">
        <v>73</v>
      </c>
      <c r="E101" s="6" t="s">
        <v>172</v>
      </c>
      <c r="F101" s="6" t="s">
        <v>179</v>
      </c>
      <c r="G101" s="6" t="s">
        <v>75</v>
      </c>
      <c r="H101" s="18">
        <v>1</v>
      </c>
      <c r="I101" s="26"/>
      <c r="J101" s="20" t="s">
        <v>64</v>
      </c>
      <c r="K101" s="20" t="s">
        <v>60</v>
      </c>
      <c r="L101" s="20" t="s">
        <v>60</v>
      </c>
    </row>
    <row r="102" ht="42" customHeight="1" spans="1:12">
      <c r="A102" s="17">
        <v>46335</v>
      </c>
      <c r="B102" s="8">
        <v>15</v>
      </c>
      <c r="C102" s="6" t="s">
        <v>31</v>
      </c>
      <c r="D102" s="6" t="s">
        <v>50</v>
      </c>
      <c r="E102" s="6" t="s">
        <v>180</v>
      </c>
      <c r="F102" s="6" t="s">
        <v>181</v>
      </c>
      <c r="G102" s="6" t="s">
        <v>53</v>
      </c>
      <c r="H102" s="18">
        <v>1.5</v>
      </c>
      <c r="I102" s="26"/>
      <c r="J102" s="20" t="s">
        <v>64</v>
      </c>
      <c r="K102" s="20" t="s">
        <v>60</v>
      </c>
      <c r="L102" s="20" t="s">
        <v>60</v>
      </c>
    </row>
    <row r="103" ht="42" customHeight="1" spans="1:12">
      <c r="A103" s="17">
        <v>46336</v>
      </c>
      <c r="B103" s="8">
        <v>15</v>
      </c>
      <c r="C103" s="6" t="s">
        <v>31</v>
      </c>
      <c r="D103" s="6" t="s">
        <v>56</v>
      </c>
      <c r="E103" s="6" t="s">
        <v>180</v>
      </c>
      <c r="F103" s="6" t="s">
        <v>182</v>
      </c>
      <c r="G103" s="6" t="s">
        <v>58</v>
      </c>
      <c r="H103" s="18">
        <v>1.5</v>
      </c>
      <c r="I103" s="26"/>
      <c r="J103" s="20" t="s">
        <v>64</v>
      </c>
      <c r="K103" s="20" t="s">
        <v>60</v>
      </c>
      <c r="L103" s="20" t="s">
        <v>60</v>
      </c>
    </row>
    <row r="104" ht="42" customHeight="1" spans="1:12">
      <c r="A104" s="17">
        <v>46337</v>
      </c>
      <c r="B104" s="8">
        <v>15</v>
      </c>
      <c r="C104" s="6" t="s">
        <v>31</v>
      </c>
      <c r="D104" s="6" t="s">
        <v>61</v>
      </c>
      <c r="E104" s="6" t="s">
        <v>180</v>
      </c>
      <c r="F104" s="6" t="s">
        <v>183</v>
      </c>
      <c r="G104" s="6" t="s">
        <v>63</v>
      </c>
      <c r="H104" s="18">
        <v>1.5</v>
      </c>
      <c r="I104" s="26"/>
      <c r="J104" s="20" t="s">
        <v>64</v>
      </c>
      <c r="K104" s="20" t="s">
        <v>60</v>
      </c>
      <c r="L104" s="20" t="s">
        <v>60</v>
      </c>
    </row>
    <row r="105" ht="42" customHeight="1" spans="1:12">
      <c r="A105" s="17">
        <v>46338</v>
      </c>
      <c r="B105" s="8">
        <v>15</v>
      </c>
      <c r="C105" s="6" t="s">
        <v>31</v>
      </c>
      <c r="D105" s="6" t="s">
        <v>65</v>
      </c>
      <c r="E105" s="6" t="s">
        <v>180</v>
      </c>
      <c r="F105" s="6" t="s">
        <v>184</v>
      </c>
      <c r="G105" s="6" t="s">
        <v>67</v>
      </c>
      <c r="H105" s="18">
        <v>1.5</v>
      </c>
      <c r="I105" s="26"/>
      <c r="J105" s="20" t="s">
        <v>64</v>
      </c>
      <c r="K105" s="20" t="s">
        <v>60</v>
      </c>
      <c r="L105" s="20" t="s">
        <v>60</v>
      </c>
    </row>
    <row r="106" ht="42" customHeight="1" spans="1:12">
      <c r="A106" s="17">
        <v>46339</v>
      </c>
      <c r="B106" s="8">
        <v>15</v>
      </c>
      <c r="C106" s="6" t="s">
        <v>31</v>
      </c>
      <c r="D106" s="6" t="s">
        <v>68</v>
      </c>
      <c r="E106" s="6" t="s">
        <v>180</v>
      </c>
      <c r="F106" s="6" t="s">
        <v>185</v>
      </c>
      <c r="G106" s="6" t="s">
        <v>70</v>
      </c>
      <c r="H106" s="18">
        <v>1.5</v>
      </c>
      <c r="I106" s="26"/>
      <c r="J106" s="20" t="s">
        <v>64</v>
      </c>
      <c r="K106" s="20" t="s">
        <v>60</v>
      </c>
      <c r="L106" s="20" t="s">
        <v>60</v>
      </c>
    </row>
    <row r="107" ht="42" customHeight="1" spans="1:12">
      <c r="A107" s="17">
        <v>46340</v>
      </c>
      <c r="B107" s="8">
        <v>15</v>
      </c>
      <c r="C107" s="6" t="s">
        <v>31</v>
      </c>
      <c r="D107" s="6" t="s">
        <v>71</v>
      </c>
      <c r="E107" s="6" t="s">
        <v>180</v>
      </c>
      <c r="F107" s="6" t="s">
        <v>186</v>
      </c>
      <c r="G107" s="6"/>
      <c r="H107" s="18">
        <v>4</v>
      </c>
      <c r="I107" s="26"/>
      <c r="J107" s="20" t="s">
        <v>64</v>
      </c>
      <c r="K107" s="20" t="s">
        <v>60</v>
      </c>
      <c r="L107" s="20" t="s">
        <v>60</v>
      </c>
    </row>
    <row r="108" ht="42" customHeight="1" spans="1:12">
      <c r="A108" s="17">
        <v>46341</v>
      </c>
      <c r="B108" s="8">
        <v>15</v>
      </c>
      <c r="C108" s="6" t="s">
        <v>31</v>
      </c>
      <c r="D108" s="6" t="s">
        <v>73</v>
      </c>
      <c r="E108" s="6" t="s">
        <v>180</v>
      </c>
      <c r="F108" s="6" t="s">
        <v>187</v>
      </c>
      <c r="G108" s="6" t="s">
        <v>75</v>
      </c>
      <c r="H108" s="18">
        <v>1</v>
      </c>
      <c r="I108" s="26"/>
      <c r="J108" s="20" t="s">
        <v>64</v>
      </c>
      <c r="K108" s="20" t="s">
        <v>60</v>
      </c>
      <c r="L108" s="20" t="s">
        <v>60</v>
      </c>
    </row>
    <row r="109" ht="42" customHeight="1" spans="1:12">
      <c r="A109" s="17">
        <v>46342</v>
      </c>
      <c r="B109" s="8">
        <v>16</v>
      </c>
      <c r="C109" s="6" t="s">
        <v>31</v>
      </c>
      <c r="D109" s="6" t="s">
        <v>50</v>
      </c>
      <c r="E109" s="6" t="s">
        <v>188</v>
      </c>
      <c r="F109" s="6" t="s">
        <v>189</v>
      </c>
      <c r="G109" s="6" t="s">
        <v>53</v>
      </c>
      <c r="H109" s="18">
        <v>1.5</v>
      </c>
      <c r="I109" s="26"/>
      <c r="J109" s="20" t="s">
        <v>64</v>
      </c>
      <c r="K109" s="20" t="s">
        <v>60</v>
      </c>
      <c r="L109" s="20" t="s">
        <v>60</v>
      </c>
    </row>
    <row r="110" ht="42" customHeight="1" spans="1:12">
      <c r="A110" s="17">
        <v>46343</v>
      </c>
      <c r="B110" s="8">
        <v>16</v>
      </c>
      <c r="C110" s="6" t="s">
        <v>31</v>
      </c>
      <c r="D110" s="6" t="s">
        <v>56</v>
      </c>
      <c r="E110" s="6" t="s">
        <v>188</v>
      </c>
      <c r="F110" s="6" t="s">
        <v>190</v>
      </c>
      <c r="G110" s="6" t="s">
        <v>58</v>
      </c>
      <c r="H110" s="18">
        <v>1.5</v>
      </c>
      <c r="I110" s="26"/>
      <c r="J110" s="20" t="s">
        <v>64</v>
      </c>
      <c r="K110" s="20" t="s">
        <v>60</v>
      </c>
      <c r="L110" s="20" t="s">
        <v>60</v>
      </c>
    </row>
    <row r="111" ht="42" customHeight="1" spans="1:12">
      <c r="A111" s="17">
        <v>46344</v>
      </c>
      <c r="B111" s="8">
        <v>16</v>
      </c>
      <c r="C111" s="6" t="s">
        <v>31</v>
      </c>
      <c r="D111" s="6" t="s">
        <v>61</v>
      </c>
      <c r="E111" s="6" t="s">
        <v>188</v>
      </c>
      <c r="F111" s="6" t="s">
        <v>191</v>
      </c>
      <c r="G111" s="6" t="s">
        <v>63</v>
      </c>
      <c r="H111" s="18">
        <v>1.5</v>
      </c>
      <c r="I111" s="26"/>
      <c r="J111" s="20" t="s">
        <v>64</v>
      </c>
      <c r="K111" s="20" t="s">
        <v>60</v>
      </c>
      <c r="L111" s="20" t="s">
        <v>60</v>
      </c>
    </row>
    <row r="112" ht="42" customHeight="1" spans="1:12">
      <c r="A112" s="17">
        <v>46345</v>
      </c>
      <c r="B112" s="8">
        <v>16</v>
      </c>
      <c r="C112" s="6" t="s">
        <v>31</v>
      </c>
      <c r="D112" s="6" t="s">
        <v>65</v>
      </c>
      <c r="E112" s="6" t="s">
        <v>188</v>
      </c>
      <c r="F112" s="6" t="s">
        <v>192</v>
      </c>
      <c r="G112" s="6" t="s">
        <v>67</v>
      </c>
      <c r="H112" s="18">
        <v>1.5</v>
      </c>
      <c r="I112" s="26"/>
      <c r="J112" s="20" t="s">
        <v>64</v>
      </c>
      <c r="K112" s="20" t="s">
        <v>60</v>
      </c>
      <c r="L112" s="20" t="s">
        <v>60</v>
      </c>
    </row>
    <row r="113" ht="42" customHeight="1" spans="1:12">
      <c r="A113" s="17">
        <v>46346</v>
      </c>
      <c r="B113" s="8">
        <v>16</v>
      </c>
      <c r="C113" s="6" t="s">
        <v>31</v>
      </c>
      <c r="D113" s="6" t="s">
        <v>68</v>
      </c>
      <c r="E113" s="6" t="s">
        <v>188</v>
      </c>
      <c r="F113" s="6" t="s">
        <v>193</v>
      </c>
      <c r="G113" s="6" t="s">
        <v>70</v>
      </c>
      <c r="H113" s="18">
        <v>1.5</v>
      </c>
      <c r="I113" s="26"/>
      <c r="J113" s="20" t="s">
        <v>64</v>
      </c>
      <c r="K113" s="20" t="s">
        <v>60</v>
      </c>
      <c r="L113" s="20" t="s">
        <v>60</v>
      </c>
    </row>
    <row r="114" ht="42" customHeight="1" spans="1:12">
      <c r="A114" s="17">
        <v>46347</v>
      </c>
      <c r="B114" s="8">
        <v>16</v>
      </c>
      <c r="C114" s="6" t="s">
        <v>31</v>
      </c>
      <c r="D114" s="6" t="s">
        <v>71</v>
      </c>
      <c r="E114" s="6" t="s">
        <v>188</v>
      </c>
      <c r="F114" s="6" t="s">
        <v>194</v>
      </c>
      <c r="G114" s="6"/>
      <c r="H114" s="18">
        <v>4</v>
      </c>
      <c r="I114" s="26"/>
      <c r="J114" s="20" t="s">
        <v>64</v>
      </c>
      <c r="K114" s="20" t="s">
        <v>60</v>
      </c>
      <c r="L114" s="20" t="s">
        <v>60</v>
      </c>
    </row>
    <row r="115" ht="42" customHeight="1" spans="1:12">
      <c r="A115" s="17">
        <v>46348</v>
      </c>
      <c r="B115" s="8">
        <v>16</v>
      </c>
      <c r="C115" s="6" t="s">
        <v>31</v>
      </c>
      <c r="D115" s="6" t="s">
        <v>73</v>
      </c>
      <c r="E115" s="6" t="s">
        <v>188</v>
      </c>
      <c r="F115" s="6" t="s">
        <v>195</v>
      </c>
      <c r="G115" s="6" t="s">
        <v>75</v>
      </c>
      <c r="H115" s="18">
        <v>1</v>
      </c>
      <c r="I115" s="26"/>
      <c r="J115" s="20" t="s">
        <v>64</v>
      </c>
      <c r="K115" s="20" t="s">
        <v>60</v>
      </c>
      <c r="L115" s="20" t="s">
        <v>60</v>
      </c>
    </row>
    <row r="116" ht="42" customHeight="1" spans="1:12">
      <c r="A116" s="17">
        <v>46349</v>
      </c>
      <c r="B116" s="8">
        <v>17</v>
      </c>
      <c r="C116" s="6" t="s">
        <v>31</v>
      </c>
      <c r="D116" s="6" t="s">
        <v>50</v>
      </c>
      <c r="E116" s="6" t="s">
        <v>196</v>
      </c>
      <c r="F116" s="6" t="s">
        <v>197</v>
      </c>
      <c r="G116" s="6" t="s">
        <v>53</v>
      </c>
      <c r="H116" s="18">
        <v>1.5</v>
      </c>
      <c r="I116" s="26"/>
      <c r="J116" s="20" t="s">
        <v>64</v>
      </c>
      <c r="K116" s="20" t="s">
        <v>60</v>
      </c>
      <c r="L116" s="20" t="s">
        <v>60</v>
      </c>
    </row>
    <row r="117" ht="42" customHeight="1" spans="1:12">
      <c r="A117" s="17">
        <v>46350</v>
      </c>
      <c r="B117" s="8">
        <v>17</v>
      </c>
      <c r="C117" s="6" t="s">
        <v>31</v>
      </c>
      <c r="D117" s="6" t="s">
        <v>56</v>
      </c>
      <c r="E117" s="6" t="s">
        <v>196</v>
      </c>
      <c r="F117" s="6" t="s">
        <v>198</v>
      </c>
      <c r="G117" s="6" t="s">
        <v>58</v>
      </c>
      <c r="H117" s="18">
        <v>1.5</v>
      </c>
      <c r="I117" s="26"/>
      <c r="J117" s="20" t="s">
        <v>64</v>
      </c>
      <c r="K117" s="20" t="s">
        <v>60</v>
      </c>
      <c r="L117" s="20" t="s">
        <v>60</v>
      </c>
    </row>
    <row r="118" ht="42" customHeight="1" spans="1:12">
      <c r="A118" s="17">
        <v>46351</v>
      </c>
      <c r="B118" s="8">
        <v>17</v>
      </c>
      <c r="C118" s="6" t="s">
        <v>31</v>
      </c>
      <c r="D118" s="6" t="s">
        <v>61</v>
      </c>
      <c r="E118" s="6" t="s">
        <v>196</v>
      </c>
      <c r="F118" s="6" t="s">
        <v>199</v>
      </c>
      <c r="G118" s="6" t="s">
        <v>63</v>
      </c>
      <c r="H118" s="18">
        <v>1.5</v>
      </c>
      <c r="I118" s="26"/>
      <c r="J118" s="20" t="s">
        <v>64</v>
      </c>
      <c r="K118" s="20" t="s">
        <v>60</v>
      </c>
      <c r="L118" s="20" t="s">
        <v>60</v>
      </c>
    </row>
    <row r="119" ht="42" customHeight="1" spans="1:12">
      <c r="A119" s="17">
        <v>46352</v>
      </c>
      <c r="B119" s="8">
        <v>17</v>
      </c>
      <c r="C119" s="6" t="s">
        <v>31</v>
      </c>
      <c r="D119" s="6" t="s">
        <v>65</v>
      </c>
      <c r="E119" s="6" t="s">
        <v>196</v>
      </c>
      <c r="F119" s="6" t="s">
        <v>200</v>
      </c>
      <c r="G119" s="6" t="s">
        <v>67</v>
      </c>
      <c r="H119" s="18">
        <v>1.5</v>
      </c>
      <c r="I119" s="26"/>
      <c r="J119" s="20" t="s">
        <v>64</v>
      </c>
      <c r="K119" s="20" t="s">
        <v>60</v>
      </c>
      <c r="L119" s="20" t="s">
        <v>60</v>
      </c>
    </row>
    <row r="120" ht="42" customHeight="1" spans="1:12">
      <c r="A120" s="17">
        <v>46353</v>
      </c>
      <c r="B120" s="8">
        <v>17</v>
      </c>
      <c r="C120" s="6" t="s">
        <v>31</v>
      </c>
      <c r="D120" s="6" t="s">
        <v>68</v>
      </c>
      <c r="E120" s="6" t="s">
        <v>196</v>
      </c>
      <c r="F120" s="6" t="s">
        <v>201</v>
      </c>
      <c r="G120" s="6" t="s">
        <v>70</v>
      </c>
      <c r="H120" s="18">
        <v>1.5</v>
      </c>
      <c r="I120" s="26"/>
      <c r="J120" s="20" t="s">
        <v>64</v>
      </c>
      <c r="K120" s="20" t="s">
        <v>60</v>
      </c>
      <c r="L120" s="20" t="s">
        <v>60</v>
      </c>
    </row>
    <row r="121" ht="42" customHeight="1" spans="1:12">
      <c r="A121" s="17">
        <v>46354</v>
      </c>
      <c r="B121" s="8">
        <v>17</v>
      </c>
      <c r="C121" s="6" t="s">
        <v>31</v>
      </c>
      <c r="D121" s="6" t="s">
        <v>71</v>
      </c>
      <c r="E121" s="6" t="s">
        <v>196</v>
      </c>
      <c r="F121" s="6" t="s">
        <v>202</v>
      </c>
      <c r="G121" s="6"/>
      <c r="H121" s="18">
        <v>4</v>
      </c>
      <c r="I121" s="26"/>
      <c r="J121" s="20" t="s">
        <v>64</v>
      </c>
      <c r="K121" s="20" t="s">
        <v>60</v>
      </c>
      <c r="L121" s="20" t="s">
        <v>60</v>
      </c>
    </row>
    <row r="122" ht="42" customHeight="1" spans="1:12">
      <c r="A122" s="17">
        <v>46355</v>
      </c>
      <c r="B122" s="8">
        <v>17</v>
      </c>
      <c r="C122" s="6" t="s">
        <v>31</v>
      </c>
      <c r="D122" s="6" t="s">
        <v>73</v>
      </c>
      <c r="E122" s="6" t="s">
        <v>196</v>
      </c>
      <c r="F122" s="6" t="s">
        <v>203</v>
      </c>
      <c r="G122" s="6" t="s">
        <v>75</v>
      </c>
      <c r="H122" s="18">
        <v>1</v>
      </c>
      <c r="I122" s="26"/>
      <c r="J122" s="20" t="s">
        <v>64</v>
      </c>
      <c r="K122" s="20" t="s">
        <v>60</v>
      </c>
      <c r="L122" s="20" t="s">
        <v>60</v>
      </c>
    </row>
    <row r="123" ht="42" customHeight="1" spans="1:12">
      <c r="A123" s="17">
        <v>46356</v>
      </c>
      <c r="B123" s="8">
        <v>18</v>
      </c>
      <c r="C123" s="6" t="s">
        <v>31</v>
      </c>
      <c r="D123" s="6" t="s">
        <v>50</v>
      </c>
      <c r="E123" s="6" t="s">
        <v>204</v>
      </c>
      <c r="F123" s="6" t="s">
        <v>205</v>
      </c>
      <c r="G123" s="6" t="s">
        <v>53</v>
      </c>
      <c r="H123" s="18">
        <v>1.5</v>
      </c>
      <c r="I123" s="26"/>
      <c r="J123" s="20" t="s">
        <v>64</v>
      </c>
      <c r="K123" s="20" t="s">
        <v>60</v>
      </c>
      <c r="L123" s="20" t="s">
        <v>60</v>
      </c>
    </row>
    <row r="124" ht="42" customHeight="1" spans="1:12">
      <c r="A124" s="17">
        <v>46357</v>
      </c>
      <c r="B124" s="8">
        <v>18</v>
      </c>
      <c r="C124" s="6" t="s">
        <v>31</v>
      </c>
      <c r="D124" s="6" t="s">
        <v>56</v>
      </c>
      <c r="E124" s="6" t="s">
        <v>204</v>
      </c>
      <c r="F124" s="6" t="s">
        <v>206</v>
      </c>
      <c r="G124" s="6" t="s">
        <v>58</v>
      </c>
      <c r="H124" s="18">
        <v>1.5</v>
      </c>
      <c r="I124" s="26"/>
      <c r="J124" s="20" t="s">
        <v>64</v>
      </c>
      <c r="K124" s="20" t="s">
        <v>60</v>
      </c>
      <c r="L124" s="20" t="s">
        <v>60</v>
      </c>
    </row>
    <row r="125" ht="42" customHeight="1" spans="1:12">
      <c r="A125" s="17">
        <v>46358</v>
      </c>
      <c r="B125" s="8">
        <v>18</v>
      </c>
      <c r="C125" s="6" t="s">
        <v>31</v>
      </c>
      <c r="D125" s="6" t="s">
        <v>61</v>
      </c>
      <c r="E125" s="6" t="s">
        <v>204</v>
      </c>
      <c r="F125" s="6" t="s">
        <v>207</v>
      </c>
      <c r="G125" s="6" t="s">
        <v>63</v>
      </c>
      <c r="H125" s="18">
        <v>1.5</v>
      </c>
      <c r="I125" s="26"/>
      <c r="J125" s="20" t="s">
        <v>64</v>
      </c>
      <c r="K125" s="20" t="s">
        <v>60</v>
      </c>
      <c r="L125" s="20" t="s">
        <v>60</v>
      </c>
    </row>
    <row r="126" ht="42" customHeight="1" spans="1:12">
      <c r="A126" s="17">
        <v>46359</v>
      </c>
      <c r="B126" s="8">
        <v>18</v>
      </c>
      <c r="C126" s="6" t="s">
        <v>31</v>
      </c>
      <c r="D126" s="6" t="s">
        <v>65</v>
      </c>
      <c r="E126" s="6" t="s">
        <v>204</v>
      </c>
      <c r="F126" s="6" t="s">
        <v>208</v>
      </c>
      <c r="G126" s="6" t="s">
        <v>67</v>
      </c>
      <c r="H126" s="18">
        <v>1.5</v>
      </c>
      <c r="I126" s="26"/>
      <c r="J126" s="20" t="s">
        <v>64</v>
      </c>
      <c r="K126" s="20" t="s">
        <v>60</v>
      </c>
      <c r="L126" s="20" t="s">
        <v>60</v>
      </c>
    </row>
    <row r="127" ht="42" customHeight="1" spans="1:12">
      <c r="A127" s="17">
        <v>46360</v>
      </c>
      <c r="B127" s="8">
        <v>18</v>
      </c>
      <c r="C127" s="6" t="s">
        <v>31</v>
      </c>
      <c r="D127" s="6" t="s">
        <v>68</v>
      </c>
      <c r="E127" s="6" t="s">
        <v>204</v>
      </c>
      <c r="F127" s="6" t="s">
        <v>209</v>
      </c>
      <c r="G127" s="6" t="s">
        <v>70</v>
      </c>
      <c r="H127" s="18">
        <v>1.5</v>
      </c>
      <c r="I127" s="26"/>
      <c r="J127" s="20" t="s">
        <v>64</v>
      </c>
      <c r="K127" s="20" t="s">
        <v>60</v>
      </c>
      <c r="L127" s="20" t="s">
        <v>60</v>
      </c>
    </row>
    <row r="128" ht="42" customHeight="1" spans="1:12">
      <c r="A128" s="17">
        <v>46361</v>
      </c>
      <c r="B128" s="8">
        <v>18</v>
      </c>
      <c r="C128" s="6" t="s">
        <v>31</v>
      </c>
      <c r="D128" s="6" t="s">
        <v>71</v>
      </c>
      <c r="E128" s="6" t="s">
        <v>204</v>
      </c>
      <c r="F128" s="6" t="s">
        <v>210</v>
      </c>
      <c r="G128" s="6"/>
      <c r="H128" s="18">
        <v>4</v>
      </c>
      <c r="I128" s="26"/>
      <c r="J128" s="20" t="s">
        <v>64</v>
      </c>
      <c r="K128" s="20" t="s">
        <v>60</v>
      </c>
      <c r="L128" s="20" t="s">
        <v>60</v>
      </c>
    </row>
    <row r="129" ht="42" customHeight="1" spans="1:12">
      <c r="A129" s="17">
        <v>46362</v>
      </c>
      <c r="B129" s="8">
        <v>18</v>
      </c>
      <c r="C129" s="6" t="s">
        <v>31</v>
      </c>
      <c r="D129" s="6" t="s">
        <v>73</v>
      </c>
      <c r="E129" s="6" t="s">
        <v>204</v>
      </c>
      <c r="F129" s="6" t="s">
        <v>211</v>
      </c>
      <c r="G129" s="6" t="s">
        <v>75</v>
      </c>
      <c r="H129" s="18">
        <v>1</v>
      </c>
      <c r="I129" s="26"/>
      <c r="J129" s="20" t="s">
        <v>64</v>
      </c>
      <c r="K129" s="20" t="s">
        <v>60</v>
      </c>
      <c r="L129" s="20" t="s">
        <v>60</v>
      </c>
    </row>
    <row r="130" ht="42" customHeight="1" spans="1:12">
      <c r="A130" s="17">
        <v>46363</v>
      </c>
      <c r="B130" s="8">
        <v>19</v>
      </c>
      <c r="C130" s="6" t="s">
        <v>31</v>
      </c>
      <c r="D130" s="6" t="s">
        <v>50</v>
      </c>
      <c r="E130" s="6" t="s">
        <v>212</v>
      </c>
      <c r="F130" s="6" t="s">
        <v>213</v>
      </c>
      <c r="G130" s="6" t="s">
        <v>53</v>
      </c>
      <c r="H130" s="18">
        <v>1.5</v>
      </c>
      <c r="I130" s="26"/>
      <c r="J130" s="20" t="s">
        <v>64</v>
      </c>
      <c r="K130" s="20" t="s">
        <v>60</v>
      </c>
      <c r="L130" s="20" t="s">
        <v>60</v>
      </c>
    </row>
    <row r="131" ht="42" customHeight="1" spans="1:12">
      <c r="A131" s="17">
        <v>46364</v>
      </c>
      <c r="B131" s="8">
        <v>19</v>
      </c>
      <c r="C131" s="6" t="s">
        <v>31</v>
      </c>
      <c r="D131" s="6" t="s">
        <v>56</v>
      </c>
      <c r="E131" s="6" t="s">
        <v>212</v>
      </c>
      <c r="F131" s="6" t="s">
        <v>214</v>
      </c>
      <c r="G131" s="6" t="s">
        <v>58</v>
      </c>
      <c r="H131" s="18">
        <v>1.5</v>
      </c>
      <c r="I131" s="26"/>
      <c r="J131" s="20" t="s">
        <v>64</v>
      </c>
      <c r="K131" s="20" t="s">
        <v>60</v>
      </c>
      <c r="L131" s="20" t="s">
        <v>60</v>
      </c>
    </row>
    <row r="132" ht="42" customHeight="1" spans="1:12">
      <c r="A132" s="17">
        <v>46365</v>
      </c>
      <c r="B132" s="8">
        <v>19</v>
      </c>
      <c r="C132" s="6" t="s">
        <v>31</v>
      </c>
      <c r="D132" s="6" t="s">
        <v>61</v>
      </c>
      <c r="E132" s="6" t="s">
        <v>212</v>
      </c>
      <c r="F132" s="6" t="s">
        <v>215</v>
      </c>
      <c r="G132" s="6" t="s">
        <v>63</v>
      </c>
      <c r="H132" s="18">
        <v>1.5</v>
      </c>
      <c r="I132" s="26"/>
      <c r="J132" s="20" t="s">
        <v>64</v>
      </c>
      <c r="K132" s="20" t="s">
        <v>60</v>
      </c>
      <c r="L132" s="20" t="s">
        <v>60</v>
      </c>
    </row>
    <row r="133" ht="42" customHeight="1" spans="1:12">
      <c r="A133" s="17">
        <v>46366</v>
      </c>
      <c r="B133" s="8">
        <v>19</v>
      </c>
      <c r="C133" s="6" t="s">
        <v>31</v>
      </c>
      <c r="D133" s="6" t="s">
        <v>65</v>
      </c>
      <c r="E133" s="6" t="s">
        <v>212</v>
      </c>
      <c r="F133" s="6" t="s">
        <v>216</v>
      </c>
      <c r="G133" s="6" t="s">
        <v>67</v>
      </c>
      <c r="H133" s="18">
        <v>1.5</v>
      </c>
      <c r="I133" s="26"/>
      <c r="J133" s="20" t="s">
        <v>64</v>
      </c>
      <c r="K133" s="20" t="s">
        <v>60</v>
      </c>
      <c r="L133" s="20" t="s">
        <v>60</v>
      </c>
    </row>
    <row r="134" ht="42" customHeight="1" spans="1:12">
      <c r="A134" s="17">
        <v>46367</v>
      </c>
      <c r="B134" s="8">
        <v>19</v>
      </c>
      <c r="C134" s="6" t="s">
        <v>31</v>
      </c>
      <c r="D134" s="6" t="s">
        <v>68</v>
      </c>
      <c r="E134" s="6" t="s">
        <v>212</v>
      </c>
      <c r="F134" s="6" t="s">
        <v>217</v>
      </c>
      <c r="G134" s="6" t="s">
        <v>70</v>
      </c>
      <c r="H134" s="18">
        <v>1.5</v>
      </c>
      <c r="I134" s="26"/>
      <c r="J134" s="20" t="s">
        <v>64</v>
      </c>
      <c r="K134" s="20" t="s">
        <v>60</v>
      </c>
      <c r="L134" s="20" t="s">
        <v>60</v>
      </c>
    </row>
    <row r="135" ht="42" customHeight="1" spans="1:12">
      <c r="A135" s="17">
        <v>46368</v>
      </c>
      <c r="B135" s="8">
        <v>19</v>
      </c>
      <c r="C135" s="6" t="s">
        <v>31</v>
      </c>
      <c r="D135" s="6" t="s">
        <v>71</v>
      </c>
      <c r="E135" s="6" t="s">
        <v>212</v>
      </c>
      <c r="F135" s="6" t="s">
        <v>218</v>
      </c>
      <c r="G135" s="6"/>
      <c r="H135" s="18">
        <v>4</v>
      </c>
      <c r="I135" s="26"/>
      <c r="J135" s="20" t="s">
        <v>64</v>
      </c>
      <c r="K135" s="20" t="s">
        <v>60</v>
      </c>
      <c r="L135" s="20" t="s">
        <v>60</v>
      </c>
    </row>
    <row r="136" ht="42" customHeight="1" spans="1:12">
      <c r="A136" s="17">
        <v>46369</v>
      </c>
      <c r="B136" s="8">
        <v>19</v>
      </c>
      <c r="C136" s="6" t="s">
        <v>31</v>
      </c>
      <c r="D136" s="6" t="s">
        <v>73</v>
      </c>
      <c r="E136" s="6" t="s">
        <v>212</v>
      </c>
      <c r="F136" s="6" t="s">
        <v>219</v>
      </c>
      <c r="G136" s="6" t="s">
        <v>75</v>
      </c>
      <c r="H136" s="18">
        <v>1</v>
      </c>
      <c r="I136" s="26"/>
      <c r="J136" s="20" t="s">
        <v>64</v>
      </c>
      <c r="K136" s="20" t="s">
        <v>60</v>
      </c>
      <c r="L136" s="20" t="s">
        <v>60</v>
      </c>
    </row>
    <row r="137" ht="42" customHeight="1" spans="1:12">
      <c r="A137" s="17">
        <v>46370</v>
      </c>
      <c r="B137" s="8">
        <v>20</v>
      </c>
      <c r="C137" s="6" t="s">
        <v>31</v>
      </c>
      <c r="D137" s="6" t="s">
        <v>50</v>
      </c>
      <c r="E137" s="6" t="s">
        <v>220</v>
      </c>
      <c r="F137" s="6" t="s">
        <v>221</v>
      </c>
      <c r="G137" s="6" t="s">
        <v>53</v>
      </c>
      <c r="H137" s="18">
        <v>1.5</v>
      </c>
      <c r="I137" s="26"/>
      <c r="J137" s="20" t="s">
        <v>64</v>
      </c>
      <c r="K137" s="20" t="s">
        <v>60</v>
      </c>
      <c r="L137" s="20" t="s">
        <v>60</v>
      </c>
    </row>
    <row r="138" ht="42" customHeight="1" spans="1:12">
      <c r="A138" s="17">
        <v>46371</v>
      </c>
      <c r="B138" s="8">
        <v>20</v>
      </c>
      <c r="C138" s="6" t="s">
        <v>31</v>
      </c>
      <c r="D138" s="6" t="s">
        <v>56</v>
      </c>
      <c r="E138" s="6" t="s">
        <v>220</v>
      </c>
      <c r="F138" s="6" t="s">
        <v>222</v>
      </c>
      <c r="G138" s="6" t="s">
        <v>58</v>
      </c>
      <c r="H138" s="18">
        <v>1.5</v>
      </c>
      <c r="I138" s="26"/>
      <c r="J138" s="20" t="s">
        <v>64</v>
      </c>
      <c r="K138" s="20" t="s">
        <v>60</v>
      </c>
      <c r="L138" s="20" t="s">
        <v>60</v>
      </c>
    </row>
    <row r="139" ht="42" customHeight="1" spans="1:12">
      <c r="A139" s="17">
        <v>46372</v>
      </c>
      <c r="B139" s="8">
        <v>20</v>
      </c>
      <c r="C139" s="6" t="s">
        <v>31</v>
      </c>
      <c r="D139" s="6" t="s">
        <v>61</v>
      </c>
      <c r="E139" s="6" t="s">
        <v>220</v>
      </c>
      <c r="F139" s="6" t="s">
        <v>223</v>
      </c>
      <c r="G139" s="6" t="s">
        <v>63</v>
      </c>
      <c r="H139" s="18">
        <v>1.5</v>
      </c>
      <c r="I139" s="26"/>
      <c r="J139" s="20" t="s">
        <v>64</v>
      </c>
      <c r="K139" s="20" t="s">
        <v>60</v>
      </c>
      <c r="L139" s="20" t="s">
        <v>60</v>
      </c>
    </row>
    <row r="140" ht="42" customHeight="1" spans="1:12">
      <c r="A140" s="17">
        <v>46373</v>
      </c>
      <c r="B140" s="8">
        <v>20</v>
      </c>
      <c r="C140" s="6" t="s">
        <v>31</v>
      </c>
      <c r="D140" s="6" t="s">
        <v>65</v>
      </c>
      <c r="E140" s="6" t="s">
        <v>220</v>
      </c>
      <c r="F140" s="6" t="s">
        <v>224</v>
      </c>
      <c r="G140" s="6" t="s">
        <v>67</v>
      </c>
      <c r="H140" s="18">
        <v>1.5</v>
      </c>
      <c r="I140" s="26"/>
      <c r="J140" s="20" t="s">
        <v>64</v>
      </c>
      <c r="K140" s="20" t="s">
        <v>60</v>
      </c>
      <c r="L140" s="20" t="s">
        <v>60</v>
      </c>
    </row>
    <row r="141" ht="42" customHeight="1" spans="1:12">
      <c r="A141" s="17">
        <v>46374</v>
      </c>
      <c r="B141" s="8">
        <v>20</v>
      </c>
      <c r="C141" s="6" t="s">
        <v>31</v>
      </c>
      <c r="D141" s="6" t="s">
        <v>68</v>
      </c>
      <c r="E141" s="6" t="s">
        <v>220</v>
      </c>
      <c r="F141" s="6" t="s">
        <v>225</v>
      </c>
      <c r="G141" s="6" t="s">
        <v>70</v>
      </c>
      <c r="H141" s="18">
        <v>1.5</v>
      </c>
      <c r="I141" s="26"/>
      <c r="J141" s="20" t="s">
        <v>64</v>
      </c>
      <c r="K141" s="20" t="s">
        <v>60</v>
      </c>
      <c r="L141" s="20" t="s">
        <v>60</v>
      </c>
    </row>
    <row r="142" ht="42" customHeight="1" spans="1:12">
      <c r="A142" s="17">
        <v>46375</v>
      </c>
      <c r="B142" s="8">
        <v>20</v>
      </c>
      <c r="C142" s="6" t="s">
        <v>31</v>
      </c>
      <c r="D142" s="6" t="s">
        <v>71</v>
      </c>
      <c r="E142" s="6" t="s">
        <v>220</v>
      </c>
      <c r="F142" s="6" t="s">
        <v>226</v>
      </c>
      <c r="G142" s="6"/>
      <c r="H142" s="18">
        <v>4</v>
      </c>
      <c r="I142" s="26"/>
      <c r="J142" s="20" t="s">
        <v>64</v>
      </c>
      <c r="K142" s="20" t="s">
        <v>60</v>
      </c>
      <c r="L142" s="20" t="s">
        <v>60</v>
      </c>
    </row>
    <row r="143" ht="42" customHeight="1" spans="1:12">
      <c r="A143" s="17">
        <v>46376</v>
      </c>
      <c r="B143" s="8">
        <v>20</v>
      </c>
      <c r="C143" s="6" t="s">
        <v>31</v>
      </c>
      <c r="D143" s="6" t="s">
        <v>73</v>
      </c>
      <c r="E143" s="6" t="s">
        <v>220</v>
      </c>
      <c r="F143" s="6" t="s">
        <v>227</v>
      </c>
      <c r="G143" s="6" t="s">
        <v>75</v>
      </c>
      <c r="H143" s="18">
        <v>1</v>
      </c>
      <c r="I143" s="26"/>
      <c r="J143" s="20" t="s">
        <v>64</v>
      </c>
      <c r="K143" s="20" t="s">
        <v>60</v>
      </c>
      <c r="L143" s="20" t="s">
        <v>60</v>
      </c>
    </row>
    <row r="144" ht="42" customHeight="1" spans="1:12">
      <c r="A144" s="17">
        <v>46377</v>
      </c>
      <c r="B144" s="8">
        <v>21</v>
      </c>
      <c r="C144" s="6" t="s">
        <v>31</v>
      </c>
      <c r="D144" s="6" t="s">
        <v>50</v>
      </c>
      <c r="E144" s="6" t="s">
        <v>228</v>
      </c>
      <c r="F144" s="6" t="s">
        <v>229</v>
      </c>
      <c r="G144" s="6" t="s">
        <v>53</v>
      </c>
      <c r="H144" s="18">
        <v>1.5</v>
      </c>
      <c r="I144" s="26"/>
      <c r="J144" s="20" t="s">
        <v>64</v>
      </c>
      <c r="K144" s="20" t="s">
        <v>60</v>
      </c>
      <c r="L144" s="20" t="s">
        <v>60</v>
      </c>
    </row>
    <row r="145" ht="42" customHeight="1" spans="1:12">
      <c r="A145" s="17">
        <v>46378</v>
      </c>
      <c r="B145" s="8">
        <v>21</v>
      </c>
      <c r="C145" s="6" t="s">
        <v>31</v>
      </c>
      <c r="D145" s="6" t="s">
        <v>56</v>
      </c>
      <c r="E145" s="6" t="s">
        <v>228</v>
      </c>
      <c r="F145" s="6" t="s">
        <v>230</v>
      </c>
      <c r="G145" s="6" t="s">
        <v>58</v>
      </c>
      <c r="H145" s="18">
        <v>1.5</v>
      </c>
      <c r="I145" s="26"/>
      <c r="J145" s="20" t="s">
        <v>64</v>
      </c>
      <c r="K145" s="20" t="s">
        <v>60</v>
      </c>
      <c r="L145" s="20" t="s">
        <v>60</v>
      </c>
    </row>
    <row r="146" ht="42" customHeight="1" spans="1:12">
      <c r="A146" s="17">
        <v>46379</v>
      </c>
      <c r="B146" s="8">
        <v>21</v>
      </c>
      <c r="C146" s="6" t="s">
        <v>31</v>
      </c>
      <c r="D146" s="6" t="s">
        <v>61</v>
      </c>
      <c r="E146" s="6" t="s">
        <v>228</v>
      </c>
      <c r="F146" s="6" t="s">
        <v>231</v>
      </c>
      <c r="G146" s="6" t="s">
        <v>63</v>
      </c>
      <c r="H146" s="18">
        <v>1.5</v>
      </c>
      <c r="I146" s="26"/>
      <c r="J146" s="20" t="s">
        <v>64</v>
      </c>
      <c r="K146" s="20" t="s">
        <v>60</v>
      </c>
      <c r="L146" s="20" t="s">
        <v>60</v>
      </c>
    </row>
    <row r="147" ht="42" customHeight="1" spans="1:12">
      <c r="A147" s="17">
        <v>46380</v>
      </c>
      <c r="B147" s="8">
        <v>21</v>
      </c>
      <c r="C147" s="6" t="s">
        <v>31</v>
      </c>
      <c r="D147" s="6" t="s">
        <v>65</v>
      </c>
      <c r="E147" s="6" t="s">
        <v>228</v>
      </c>
      <c r="F147" s="6" t="s">
        <v>232</v>
      </c>
      <c r="G147" s="6" t="s">
        <v>67</v>
      </c>
      <c r="H147" s="18">
        <v>1.5</v>
      </c>
      <c r="I147" s="26"/>
      <c r="J147" s="20" t="s">
        <v>64</v>
      </c>
      <c r="K147" s="20" t="s">
        <v>60</v>
      </c>
      <c r="L147" s="20" t="s">
        <v>60</v>
      </c>
    </row>
    <row r="148" ht="42" customHeight="1" spans="1:12">
      <c r="A148" s="17">
        <v>46381</v>
      </c>
      <c r="B148" s="8">
        <v>21</v>
      </c>
      <c r="C148" s="6" t="s">
        <v>31</v>
      </c>
      <c r="D148" s="6" t="s">
        <v>68</v>
      </c>
      <c r="E148" s="6" t="s">
        <v>228</v>
      </c>
      <c r="F148" s="6" t="s">
        <v>233</v>
      </c>
      <c r="G148" s="6" t="s">
        <v>70</v>
      </c>
      <c r="H148" s="18">
        <v>1.5</v>
      </c>
      <c r="I148" s="26"/>
      <c r="J148" s="20" t="s">
        <v>64</v>
      </c>
      <c r="K148" s="20" t="s">
        <v>60</v>
      </c>
      <c r="L148" s="20" t="s">
        <v>60</v>
      </c>
    </row>
    <row r="149" ht="42" customHeight="1" spans="1:12">
      <c r="A149" s="17">
        <v>46382</v>
      </c>
      <c r="B149" s="8">
        <v>21</v>
      </c>
      <c r="C149" s="6" t="s">
        <v>31</v>
      </c>
      <c r="D149" s="6" t="s">
        <v>71</v>
      </c>
      <c r="E149" s="6" t="s">
        <v>228</v>
      </c>
      <c r="F149" s="6" t="s">
        <v>234</v>
      </c>
      <c r="G149" s="6"/>
      <c r="H149" s="18">
        <v>4</v>
      </c>
      <c r="I149" s="26"/>
      <c r="J149" s="20" t="s">
        <v>64</v>
      </c>
      <c r="K149" s="20" t="s">
        <v>60</v>
      </c>
      <c r="L149" s="20" t="s">
        <v>60</v>
      </c>
    </row>
    <row r="150" ht="42" customHeight="1" spans="1:12">
      <c r="A150" s="17">
        <v>46383</v>
      </c>
      <c r="B150" s="8">
        <v>21</v>
      </c>
      <c r="C150" s="6" t="s">
        <v>31</v>
      </c>
      <c r="D150" s="6" t="s">
        <v>73</v>
      </c>
      <c r="E150" s="6" t="s">
        <v>228</v>
      </c>
      <c r="F150" s="6" t="s">
        <v>235</v>
      </c>
      <c r="G150" s="6" t="s">
        <v>75</v>
      </c>
      <c r="H150" s="18">
        <v>1</v>
      </c>
      <c r="I150" s="26"/>
      <c r="J150" s="20" t="s">
        <v>64</v>
      </c>
      <c r="K150" s="20" t="s">
        <v>60</v>
      </c>
      <c r="L150" s="20" t="s">
        <v>60</v>
      </c>
    </row>
    <row r="151" ht="42" customHeight="1" spans="1:12">
      <c r="A151" s="17">
        <v>46384</v>
      </c>
      <c r="B151" s="8">
        <v>22</v>
      </c>
      <c r="C151" s="6" t="s">
        <v>31</v>
      </c>
      <c r="D151" s="6" t="s">
        <v>50</v>
      </c>
      <c r="E151" s="6" t="s">
        <v>236</v>
      </c>
      <c r="F151" s="6" t="s">
        <v>237</v>
      </c>
      <c r="G151" s="6" t="s">
        <v>53</v>
      </c>
      <c r="H151" s="18">
        <v>1.5</v>
      </c>
      <c r="I151" s="26"/>
      <c r="J151" s="20" t="s">
        <v>64</v>
      </c>
      <c r="K151" s="20" t="s">
        <v>60</v>
      </c>
      <c r="L151" s="20" t="s">
        <v>60</v>
      </c>
    </row>
    <row r="152" ht="42" customHeight="1" spans="1:12">
      <c r="A152" s="17">
        <v>46385</v>
      </c>
      <c r="B152" s="8">
        <v>22</v>
      </c>
      <c r="C152" s="6" t="s">
        <v>31</v>
      </c>
      <c r="D152" s="6" t="s">
        <v>56</v>
      </c>
      <c r="E152" s="6" t="s">
        <v>236</v>
      </c>
      <c r="F152" s="6" t="s">
        <v>238</v>
      </c>
      <c r="G152" s="6" t="s">
        <v>58</v>
      </c>
      <c r="H152" s="18">
        <v>1.5</v>
      </c>
      <c r="I152" s="26"/>
      <c r="J152" s="20" t="s">
        <v>64</v>
      </c>
      <c r="K152" s="20" t="s">
        <v>60</v>
      </c>
      <c r="L152" s="20" t="s">
        <v>60</v>
      </c>
    </row>
    <row r="153" ht="42" customHeight="1" spans="1:12">
      <c r="A153" s="17">
        <v>46386</v>
      </c>
      <c r="B153" s="8">
        <v>22</v>
      </c>
      <c r="C153" s="6" t="s">
        <v>31</v>
      </c>
      <c r="D153" s="6" t="s">
        <v>61</v>
      </c>
      <c r="E153" s="6" t="s">
        <v>236</v>
      </c>
      <c r="F153" s="6" t="s">
        <v>239</v>
      </c>
      <c r="G153" s="6" t="s">
        <v>63</v>
      </c>
      <c r="H153" s="18">
        <v>1.5</v>
      </c>
      <c r="I153" s="26"/>
      <c r="J153" s="20" t="s">
        <v>64</v>
      </c>
      <c r="K153" s="20" t="s">
        <v>60</v>
      </c>
      <c r="L153" s="20" t="s">
        <v>60</v>
      </c>
    </row>
    <row r="154" ht="42" customHeight="1" spans="1:12">
      <c r="A154" s="17">
        <v>46387</v>
      </c>
      <c r="B154" s="8">
        <v>22</v>
      </c>
      <c r="C154" s="6" t="s">
        <v>31</v>
      </c>
      <c r="D154" s="6" t="s">
        <v>65</v>
      </c>
      <c r="E154" s="6" t="s">
        <v>236</v>
      </c>
      <c r="F154" s="6" t="s">
        <v>240</v>
      </c>
      <c r="G154" s="6" t="s">
        <v>67</v>
      </c>
      <c r="H154" s="18">
        <v>1.5</v>
      </c>
      <c r="I154" s="26"/>
      <c r="J154" s="20" t="s">
        <v>64</v>
      </c>
      <c r="K154" s="20" t="s">
        <v>60</v>
      </c>
      <c r="L154" s="20" t="s">
        <v>60</v>
      </c>
    </row>
    <row r="155" ht="42" customHeight="1" spans="1:12">
      <c r="A155" s="17">
        <v>46388</v>
      </c>
      <c r="B155" s="8">
        <v>22</v>
      </c>
      <c r="C155" s="6" t="s">
        <v>31</v>
      </c>
      <c r="D155" s="6" t="s">
        <v>68</v>
      </c>
      <c r="E155" s="6" t="s">
        <v>236</v>
      </c>
      <c r="F155" s="6" t="s">
        <v>241</v>
      </c>
      <c r="G155" s="6" t="s">
        <v>70</v>
      </c>
      <c r="H155" s="18">
        <v>1.5</v>
      </c>
      <c r="I155" s="26"/>
      <c r="J155" s="20" t="s">
        <v>64</v>
      </c>
      <c r="K155" s="20" t="s">
        <v>60</v>
      </c>
      <c r="L155" s="20" t="s">
        <v>60</v>
      </c>
    </row>
    <row r="156" ht="42" customHeight="1" spans="1:12">
      <c r="A156" s="17">
        <v>46389</v>
      </c>
      <c r="B156" s="8">
        <v>22</v>
      </c>
      <c r="C156" s="6" t="s">
        <v>31</v>
      </c>
      <c r="D156" s="6" t="s">
        <v>71</v>
      </c>
      <c r="E156" s="6" t="s">
        <v>236</v>
      </c>
      <c r="F156" s="6" t="s">
        <v>242</v>
      </c>
      <c r="G156" s="6"/>
      <c r="H156" s="18">
        <v>4</v>
      </c>
      <c r="I156" s="26"/>
      <c r="J156" s="20" t="s">
        <v>64</v>
      </c>
      <c r="K156" s="20" t="s">
        <v>60</v>
      </c>
      <c r="L156" s="20" t="s">
        <v>60</v>
      </c>
    </row>
    <row r="157" ht="42" customHeight="1" spans="1:12">
      <c r="A157" s="17">
        <v>46390</v>
      </c>
      <c r="B157" s="8">
        <v>22</v>
      </c>
      <c r="C157" s="6" t="s">
        <v>31</v>
      </c>
      <c r="D157" s="6" t="s">
        <v>73</v>
      </c>
      <c r="E157" s="6" t="s">
        <v>236</v>
      </c>
      <c r="F157" s="6" t="s">
        <v>243</v>
      </c>
      <c r="G157" s="6" t="s">
        <v>75</v>
      </c>
      <c r="H157" s="18">
        <v>1</v>
      </c>
      <c r="I157" s="26"/>
      <c r="J157" s="20" t="s">
        <v>64</v>
      </c>
      <c r="K157" s="20" t="s">
        <v>60</v>
      </c>
      <c r="L157" s="20" t="s">
        <v>60</v>
      </c>
    </row>
    <row r="158" ht="42" customHeight="1" spans="1:12">
      <c r="A158" s="17">
        <v>46391</v>
      </c>
      <c r="B158" s="8">
        <v>23</v>
      </c>
      <c r="C158" s="6" t="s">
        <v>31</v>
      </c>
      <c r="D158" s="6" t="s">
        <v>50</v>
      </c>
      <c r="E158" s="6" t="s">
        <v>244</v>
      </c>
      <c r="F158" s="6" t="s">
        <v>245</v>
      </c>
      <c r="G158" s="6" t="s">
        <v>53</v>
      </c>
      <c r="H158" s="18">
        <v>1.5</v>
      </c>
      <c r="I158" s="26"/>
      <c r="J158" s="20" t="s">
        <v>64</v>
      </c>
      <c r="K158" s="20" t="s">
        <v>60</v>
      </c>
      <c r="L158" s="20" t="s">
        <v>60</v>
      </c>
    </row>
    <row r="159" ht="42" customHeight="1" spans="1:12">
      <c r="A159" s="17">
        <v>46392</v>
      </c>
      <c r="B159" s="8">
        <v>23</v>
      </c>
      <c r="C159" s="6" t="s">
        <v>31</v>
      </c>
      <c r="D159" s="6" t="s">
        <v>56</v>
      </c>
      <c r="E159" s="6" t="s">
        <v>244</v>
      </c>
      <c r="F159" s="6" t="s">
        <v>246</v>
      </c>
      <c r="G159" s="6" t="s">
        <v>58</v>
      </c>
      <c r="H159" s="18">
        <v>1.5</v>
      </c>
      <c r="I159" s="26"/>
      <c r="J159" s="20" t="s">
        <v>64</v>
      </c>
      <c r="K159" s="20" t="s">
        <v>60</v>
      </c>
      <c r="L159" s="20" t="s">
        <v>60</v>
      </c>
    </row>
    <row r="160" ht="42" customHeight="1" spans="1:12">
      <c r="A160" s="17">
        <v>46393</v>
      </c>
      <c r="B160" s="8">
        <v>23</v>
      </c>
      <c r="C160" s="6" t="s">
        <v>31</v>
      </c>
      <c r="D160" s="6" t="s">
        <v>61</v>
      </c>
      <c r="E160" s="6" t="s">
        <v>244</v>
      </c>
      <c r="F160" s="6" t="s">
        <v>247</v>
      </c>
      <c r="G160" s="6" t="s">
        <v>63</v>
      </c>
      <c r="H160" s="18">
        <v>1.5</v>
      </c>
      <c r="I160" s="26"/>
      <c r="J160" s="20" t="s">
        <v>64</v>
      </c>
      <c r="K160" s="20" t="s">
        <v>60</v>
      </c>
      <c r="L160" s="20" t="s">
        <v>60</v>
      </c>
    </row>
    <row r="161" ht="42" customHeight="1" spans="1:12">
      <c r="A161" s="17">
        <v>46394</v>
      </c>
      <c r="B161" s="8">
        <v>23</v>
      </c>
      <c r="C161" s="6" t="s">
        <v>31</v>
      </c>
      <c r="D161" s="6" t="s">
        <v>65</v>
      </c>
      <c r="E161" s="6" t="s">
        <v>244</v>
      </c>
      <c r="F161" s="6" t="s">
        <v>248</v>
      </c>
      <c r="G161" s="6" t="s">
        <v>67</v>
      </c>
      <c r="H161" s="18">
        <v>1.5</v>
      </c>
      <c r="I161" s="26"/>
      <c r="J161" s="20" t="s">
        <v>64</v>
      </c>
      <c r="K161" s="20" t="s">
        <v>60</v>
      </c>
      <c r="L161" s="20" t="s">
        <v>60</v>
      </c>
    </row>
    <row r="162" ht="42" customHeight="1" spans="1:12">
      <c r="A162" s="17">
        <v>46395</v>
      </c>
      <c r="B162" s="8">
        <v>23</v>
      </c>
      <c r="C162" s="6" t="s">
        <v>31</v>
      </c>
      <c r="D162" s="6" t="s">
        <v>68</v>
      </c>
      <c r="E162" s="6" t="s">
        <v>244</v>
      </c>
      <c r="F162" s="6" t="s">
        <v>249</v>
      </c>
      <c r="G162" s="6" t="s">
        <v>70</v>
      </c>
      <c r="H162" s="18">
        <v>1.5</v>
      </c>
      <c r="I162" s="26"/>
      <c r="J162" s="20" t="s">
        <v>64</v>
      </c>
      <c r="K162" s="20" t="s">
        <v>60</v>
      </c>
      <c r="L162" s="20" t="s">
        <v>60</v>
      </c>
    </row>
    <row r="163" ht="42" customHeight="1" spans="1:12">
      <c r="A163" s="17">
        <v>46396</v>
      </c>
      <c r="B163" s="8">
        <v>23</v>
      </c>
      <c r="C163" s="6" t="s">
        <v>31</v>
      </c>
      <c r="D163" s="6" t="s">
        <v>71</v>
      </c>
      <c r="E163" s="6" t="s">
        <v>244</v>
      </c>
      <c r="F163" s="6" t="s">
        <v>250</v>
      </c>
      <c r="G163" s="6"/>
      <c r="H163" s="18">
        <v>4</v>
      </c>
      <c r="I163" s="26"/>
      <c r="J163" s="20" t="s">
        <v>64</v>
      </c>
      <c r="K163" s="20" t="s">
        <v>60</v>
      </c>
      <c r="L163" s="20" t="s">
        <v>60</v>
      </c>
    </row>
    <row r="164" ht="42" customHeight="1" spans="1:12">
      <c r="A164" s="17">
        <v>46397</v>
      </c>
      <c r="B164" s="8">
        <v>23</v>
      </c>
      <c r="C164" s="6" t="s">
        <v>31</v>
      </c>
      <c r="D164" s="6" t="s">
        <v>73</v>
      </c>
      <c r="E164" s="6" t="s">
        <v>244</v>
      </c>
      <c r="F164" s="6" t="s">
        <v>251</v>
      </c>
      <c r="G164" s="6" t="s">
        <v>75</v>
      </c>
      <c r="H164" s="18">
        <v>1</v>
      </c>
      <c r="I164" s="26"/>
      <c r="J164" s="20" t="s">
        <v>64</v>
      </c>
      <c r="K164" s="20" t="s">
        <v>60</v>
      </c>
      <c r="L164" s="20" t="s">
        <v>60</v>
      </c>
    </row>
    <row r="165" ht="42" customHeight="1" spans="1:12">
      <c r="A165" s="17">
        <v>46398</v>
      </c>
      <c r="B165" s="8">
        <v>24</v>
      </c>
      <c r="C165" s="6" t="s">
        <v>31</v>
      </c>
      <c r="D165" s="6" t="s">
        <v>50</v>
      </c>
      <c r="E165" s="6" t="s">
        <v>252</v>
      </c>
      <c r="F165" s="6" t="s">
        <v>253</v>
      </c>
      <c r="G165" s="6" t="s">
        <v>53</v>
      </c>
      <c r="H165" s="18">
        <v>1.5</v>
      </c>
      <c r="I165" s="26"/>
      <c r="J165" s="20" t="s">
        <v>64</v>
      </c>
      <c r="K165" s="20" t="s">
        <v>60</v>
      </c>
      <c r="L165" s="20" t="s">
        <v>60</v>
      </c>
    </row>
    <row r="166" ht="42" customHeight="1" spans="1:12">
      <c r="A166" s="17">
        <v>46399</v>
      </c>
      <c r="B166" s="8">
        <v>24</v>
      </c>
      <c r="C166" s="6" t="s">
        <v>31</v>
      </c>
      <c r="D166" s="6" t="s">
        <v>56</v>
      </c>
      <c r="E166" s="6" t="s">
        <v>252</v>
      </c>
      <c r="F166" s="6" t="s">
        <v>254</v>
      </c>
      <c r="G166" s="6" t="s">
        <v>58</v>
      </c>
      <c r="H166" s="18">
        <v>1.5</v>
      </c>
      <c r="I166" s="26"/>
      <c r="J166" s="20" t="s">
        <v>64</v>
      </c>
      <c r="K166" s="20" t="s">
        <v>60</v>
      </c>
      <c r="L166" s="20" t="s">
        <v>60</v>
      </c>
    </row>
    <row r="167" ht="42" customHeight="1" spans="1:12">
      <c r="A167" s="17">
        <v>46400</v>
      </c>
      <c r="B167" s="8">
        <v>24</v>
      </c>
      <c r="C167" s="6" t="s">
        <v>31</v>
      </c>
      <c r="D167" s="6" t="s">
        <v>61</v>
      </c>
      <c r="E167" s="6" t="s">
        <v>252</v>
      </c>
      <c r="F167" s="6" t="s">
        <v>255</v>
      </c>
      <c r="G167" s="6" t="s">
        <v>63</v>
      </c>
      <c r="H167" s="18">
        <v>1.5</v>
      </c>
      <c r="I167" s="26"/>
      <c r="J167" s="20" t="s">
        <v>64</v>
      </c>
      <c r="K167" s="20" t="s">
        <v>60</v>
      </c>
      <c r="L167" s="20" t="s">
        <v>60</v>
      </c>
    </row>
    <row r="168" ht="42" customHeight="1" spans="1:12">
      <c r="A168" s="17">
        <v>46401</v>
      </c>
      <c r="B168" s="8">
        <v>24</v>
      </c>
      <c r="C168" s="6" t="s">
        <v>31</v>
      </c>
      <c r="D168" s="6" t="s">
        <v>65</v>
      </c>
      <c r="E168" s="6" t="s">
        <v>252</v>
      </c>
      <c r="F168" s="6" t="s">
        <v>256</v>
      </c>
      <c r="G168" s="6" t="s">
        <v>67</v>
      </c>
      <c r="H168" s="18">
        <v>1.5</v>
      </c>
      <c r="I168" s="26"/>
      <c r="J168" s="20" t="s">
        <v>64</v>
      </c>
      <c r="K168" s="20" t="s">
        <v>60</v>
      </c>
      <c r="L168" s="20" t="s">
        <v>60</v>
      </c>
    </row>
    <row r="169" ht="42" customHeight="1" spans="1:12">
      <c r="A169" s="17">
        <v>46402</v>
      </c>
      <c r="B169" s="8">
        <v>24</v>
      </c>
      <c r="C169" s="6" t="s">
        <v>31</v>
      </c>
      <c r="D169" s="6" t="s">
        <v>68</v>
      </c>
      <c r="E169" s="6" t="s">
        <v>252</v>
      </c>
      <c r="F169" s="6" t="s">
        <v>257</v>
      </c>
      <c r="G169" s="6" t="s">
        <v>70</v>
      </c>
      <c r="H169" s="18">
        <v>1.5</v>
      </c>
      <c r="I169" s="26"/>
      <c r="J169" s="20" t="s">
        <v>64</v>
      </c>
      <c r="K169" s="20" t="s">
        <v>60</v>
      </c>
      <c r="L169" s="20" t="s">
        <v>60</v>
      </c>
    </row>
    <row r="170" ht="42" customHeight="1" spans="1:12">
      <c r="A170" s="17">
        <v>46403</v>
      </c>
      <c r="B170" s="8">
        <v>24</v>
      </c>
      <c r="C170" s="6" t="s">
        <v>31</v>
      </c>
      <c r="D170" s="6" t="s">
        <v>71</v>
      </c>
      <c r="E170" s="6" t="s">
        <v>252</v>
      </c>
      <c r="F170" s="6" t="s">
        <v>258</v>
      </c>
      <c r="G170" s="6"/>
      <c r="H170" s="18">
        <v>4</v>
      </c>
      <c r="I170" s="26"/>
      <c r="J170" s="20" t="s">
        <v>64</v>
      </c>
      <c r="K170" s="20" t="s">
        <v>60</v>
      </c>
      <c r="L170" s="20" t="s">
        <v>60</v>
      </c>
    </row>
    <row r="171" ht="42" customHeight="1" spans="1:12">
      <c r="A171" s="17">
        <v>46404</v>
      </c>
      <c r="B171" s="8">
        <v>24</v>
      </c>
      <c r="C171" s="6" t="s">
        <v>31</v>
      </c>
      <c r="D171" s="6" t="s">
        <v>73</v>
      </c>
      <c r="E171" s="6" t="s">
        <v>252</v>
      </c>
      <c r="F171" s="6" t="s">
        <v>259</v>
      </c>
      <c r="G171" s="6" t="s">
        <v>75</v>
      </c>
      <c r="H171" s="18">
        <v>1</v>
      </c>
      <c r="I171" s="26"/>
      <c r="J171" s="20" t="s">
        <v>64</v>
      </c>
      <c r="K171" s="20" t="s">
        <v>60</v>
      </c>
      <c r="L171" s="20" t="s">
        <v>60</v>
      </c>
    </row>
    <row r="172" ht="42" customHeight="1" spans="1:12">
      <c r="A172" s="17">
        <v>46405</v>
      </c>
      <c r="B172" s="8">
        <v>25</v>
      </c>
      <c r="C172" s="6" t="s">
        <v>31</v>
      </c>
      <c r="D172" s="6" t="s">
        <v>50</v>
      </c>
      <c r="E172" s="6" t="s">
        <v>260</v>
      </c>
      <c r="F172" s="6" t="s">
        <v>261</v>
      </c>
      <c r="G172" s="6" t="s">
        <v>53</v>
      </c>
      <c r="H172" s="18">
        <v>1.5</v>
      </c>
      <c r="I172" s="26"/>
      <c r="J172" s="20" t="s">
        <v>64</v>
      </c>
      <c r="K172" s="20" t="s">
        <v>60</v>
      </c>
      <c r="L172" s="20" t="s">
        <v>60</v>
      </c>
    </row>
    <row r="173" ht="42" customHeight="1" spans="1:12">
      <c r="A173" s="17">
        <v>46406</v>
      </c>
      <c r="B173" s="8">
        <v>25</v>
      </c>
      <c r="C173" s="6" t="s">
        <v>31</v>
      </c>
      <c r="D173" s="6" t="s">
        <v>56</v>
      </c>
      <c r="E173" s="6" t="s">
        <v>260</v>
      </c>
      <c r="F173" s="6" t="s">
        <v>262</v>
      </c>
      <c r="G173" s="6" t="s">
        <v>58</v>
      </c>
      <c r="H173" s="18">
        <v>1.5</v>
      </c>
      <c r="I173" s="26"/>
      <c r="J173" s="20" t="s">
        <v>64</v>
      </c>
      <c r="K173" s="20" t="s">
        <v>60</v>
      </c>
      <c r="L173" s="20" t="s">
        <v>60</v>
      </c>
    </row>
    <row r="174" ht="42" customHeight="1" spans="1:12">
      <c r="A174" s="17">
        <v>46407</v>
      </c>
      <c r="B174" s="8">
        <v>25</v>
      </c>
      <c r="C174" s="6" t="s">
        <v>31</v>
      </c>
      <c r="D174" s="6" t="s">
        <v>61</v>
      </c>
      <c r="E174" s="6" t="s">
        <v>260</v>
      </c>
      <c r="F174" s="6" t="s">
        <v>263</v>
      </c>
      <c r="G174" s="6" t="s">
        <v>63</v>
      </c>
      <c r="H174" s="18">
        <v>1.5</v>
      </c>
      <c r="I174" s="26"/>
      <c r="J174" s="20" t="s">
        <v>64</v>
      </c>
      <c r="K174" s="20" t="s">
        <v>60</v>
      </c>
      <c r="L174" s="20" t="s">
        <v>60</v>
      </c>
    </row>
    <row r="175" ht="42" customHeight="1" spans="1:12">
      <c r="A175" s="17">
        <v>46408</v>
      </c>
      <c r="B175" s="8">
        <v>25</v>
      </c>
      <c r="C175" s="6" t="s">
        <v>31</v>
      </c>
      <c r="D175" s="6" t="s">
        <v>65</v>
      </c>
      <c r="E175" s="6" t="s">
        <v>260</v>
      </c>
      <c r="F175" s="6" t="s">
        <v>264</v>
      </c>
      <c r="G175" s="6" t="s">
        <v>67</v>
      </c>
      <c r="H175" s="18">
        <v>1.5</v>
      </c>
      <c r="I175" s="26"/>
      <c r="J175" s="20" t="s">
        <v>64</v>
      </c>
      <c r="K175" s="20" t="s">
        <v>60</v>
      </c>
      <c r="L175" s="20" t="s">
        <v>60</v>
      </c>
    </row>
    <row r="176" ht="42" customHeight="1" spans="1:12">
      <c r="A176" s="17">
        <v>46409</v>
      </c>
      <c r="B176" s="8">
        <v>25</v>
      </c>
      <c r="C176" s="6" t="s">
        <v>31</v>
      </c>
      <c r="D176" s="6" t="s">
        <v>68</v>
      </c>
      <c r="E176" s="6" t="s">
        <v>260</v>
      </c>
      <c r="F176" s="6" t="s">
        <v>265</v>
      </c>
      <c r="G176" s="6" t="s">
        <v>70</v>
      </c>
      <c r="H176" s="18">
        <v>1.5</v>
      </c>
      <c r="I176" s="26"/>
      <c r="J176" s="20" t="s">
        <v>64</v>
      </c>
      <c r="K176" s="20" t="s">
        <v>60</v>
      </c>
      <c r="L176" s="20" t="s">
        <v>60</v>
      </c>
    </row>
    <row r="177" ht="42" customHeight="1" spans="1:12">
      <c r="A177" s="17">
        <v>46410</v>
      </c>
      <c r="B177" s="8">
        <v>25</v>
      </c>
      <c r="C177" s="6" t="s">
        <v>31</v>
      </c>
      <c r="D177" s="6" t="s">
        <v>71</v>
      </c>
      <c r="E177" s="6" t="s">
        <v>260</v>
      </c>
      <c r="F177" s="6" t="s">
        <v>266</v>
      </c>
      <c r="G177" s="6"/>
      <c r="H177" s="18">
        <v>4</v>
      </c>
      <c r="I177" s="26"/>
      <c r="J177" s="20" t="s">
        <v>64</v>
      </c>
      <c r="K177" s="20" t="s">
        <v>60</v>
      </c>
      <c r="L177" s="20" t="s">
        <v>60</v>
      </c>
    </row>
    <row r="178" ht="42" customHeight="1" spans="1:12">
      <c r="A178" s="17">
        <v>46411</v>
      </c>
      <c r="B178" s="8">
        <v>25</v>
      </c>
      <c r="C178" s="6" t="s">
        <v>31</v>
      </c>
      <c r="D178" s="6" t="s">
        <v>73</v>
      </c>
      <c r="E178" s="6" t="s">
        <v>260</v>
      </c>
      <c r="F178" s="6" t="s">
        <v>267</v>
      </c>
      <c r="G178" s="6" t="s">
        <v>75</v>
      </c>
      <c r="H178" s="18">
        <v>1</v>
      </c>
      <c r="I178" s="26"/>
      <c r="J178" s="20" t="s">
        <v>64</v>
      </c>
      <c r="K178" s="20" t="s">
        <v>60</v>
      </c>
      <c r="L178" s="20" t="s">
        <v>60</v>
      </c>
    </row>
    <row r="179" ht="42" customHeight="1" spans="1:12">
      <c r="A179" s="17">
        <v>46412</v>
      </c>
      <c r="B179" s="8">
        <v>26</v>
      </c>
      <c r="C179" s="6" t="s">
        <v>31</v>
      </c>
      <c r="D179" s="6" t="s">
        <v>50</v>
      </c>
      <c r="E179" s="6" t="s">
        <v>268</v>
      </c>
      <c r="F179" s="6" t="s">
        <v>269</v>
      </c>
      <c r="G179" s="6" t="s">
        <v>53</v>
      </c>
      <c r="H179" s="18">
        <v>1.5</v>
      </c>
      <c r="I179" s="26"/>
      <c r="J179" s="20" t="s">
        <v>64</v>
      </c>
      <c r="K179" s="20" t="s">
        <v>60</v>
      </c>
      <c r="L179" s="20" t="s">
        <v>60</v>
      </c>
    </row>
    <row r="180" ht="42" customHeight="1" spans="1:12">
      <c r="A180" s="17">
        <v>46413</v>
      </c>
      <c r="B180" s="8">
        <v>26</v>
      </c>
      <c r="C180" s="6" t="s">
        <v>31</v>
      </c>
      <c r="D180" s="6" t="s">
        <v>56</v>
      </c>
      <c r="E180" s="6" t="s">
        <v>268</v>
      </c>
      <c r="F180" s="6" t="s">
        <v>270</v>
      </c>
      <c r="G180" s="6" t="s">
        <v>58</v>
      </c>
      <c r="H180" s="18">
        <v>1.5</v>
      </c>
      <c r="I180" s="26"/>
      <c r="J180" s="20" t="s">
        <v>64</v>
      </c>
      <c r="K180" s="20" t="s">
        <v>60</v>
      </c>
      <c r="L180" s="20" t="s">
        <v>60</v>
      </c>
    </row>
    <row r="181" ht="42" customHeight="1" spans="1:12">
      <c r="A181" s="17">
        <v>46414</v>
      </c>
      <c r="B181" s="8">
        <v>26</v>
      </c>
      <c r="C181" s="6" t="s">
        <v>31</v>
      </c>
      <c r="D181" s="6" t="s">
        <v>61</v>
      </c>
      <c r="E181" s="6" t="s">
        <v>268</v>
      </c>
      <c r="F181" s="6" t="s">
        <v>271</v>
      </c>
      <c r="G181" s="6" t="s">
        <v>63</v>
      </c>
      <c r="H181" s="18">
        <v>1.5</v>
      </c>
      <c r="I181" s="26"/>
      <c r="J181" s="20" t="s">
        <v>64</v>
      </c>
      <c r="K181" s="20" t="s">
        <v>60</v>
      </c>
      <c r="L181" s="20" t="s">
        <v>60</v>
      </c>
    </row>
    <row r="182" ht="42" customHeight="1" spans="1:12">
      <c r="A182" s="17">
        <v>46415</v>
      </c>
      <c r="B182" s="8">
        <v>26</v>
      </c>
      <c r="C182" s="6" t="s">
        <v>31</v>
      </c>
      <c r="D182" s="6" t="s">
        <v>65</v>
      </c>
      <c r="E182" s="6" t="s">
        <v>268</v>
      </c>
      <c r="F182" s="6" t="s">
        <v>272</v>
      </c>
      <c r="G182" s="6" t="s">
        <v>67</v>
      </c>
      <c r="H182" s="18">
        <v>1.5</v>
      </c>
      <c r="I182" s="26"/>
      <c r="J182" s="20" t="s">
        <v>64</v>
      </c>
      <c r="K182" s="20" t="s">
        <v>60</v>
      </c>
      <c r="L182" s="20" t="s">
        <v>60</v>
      </c>
    </row>
    <row r="183" ht="42" customHeight="1" spans="1:12">
      <c r="A183" s="17">
        <v>46416</v>
      </c>
      <c r="B183" s="8">
        <v>26</v>
      </c>
      <c r="C183" s="6" t="s">
        <v>31</v>
      </c>
      <c r="D183" s="6" t="s">
        <v>68</v>
      </c>
      <c r="E183" s="6" t="s">
        <v>268</v>
      </c>
      <c r="F183" s="6" t="s">
        <v>273</v>
      </c>
      <c r="G183" s="6" t="s">
        <v>70</v>
      </c>
      <c r="H183" s="18">
        <v>1.5</v>
      </c>
      <c r="I183" s="26"/>
      <c r="J183" s="20" t="s">
        <v>64</v>
      </c>
      <c r="K183" s="20" t="s">
        <v>60</v>
      </c>
      <c r="L183" s="20" t="s">
        <v>60</v>
      </c>
    </row>
    <row r="184" ht="42" customHeight="1" spans="1:12">
      <c r="A184" s="17">
        <v>46417</v>
      </c>
      <c r="B184" s="8">
        <v>26</v>
      </c>
      <c r="C184" s="6" t="s">
        <v>31</v>
      </c>
      <c r="D184" s="6" t="s">
        <v>71</v>
      </c>
      <c r="E184" s="6" t="s">
        <v>268</v>
      </c>
      <c r="F184" s="6" t="s">
        <v>274</v>
      </c>
      <c r="G184" s="6"/>
      <c r="H184" s="18">
        <v>4</v>
      </c>
      <c r="I184" s="26"/>
      <c r="J184" s="20" t="s">
        <v>64</v>
      </c>
      <c r="K184" s="20" t="s">
        <v>60</v>
      </c>
      <c r="L184" s="20" t="s">
        <v>60</v>
      </c>
    </row>
    <row r="185" ht="42" customHeight="1" spans="1:12">
      <c r="A185" s="17">
        <v>46418</v>
      </c>
      <c r="B185" s="8">
        <v>26</v>
      </c>
      <c r="C185" s="6" t="s">
        <v>31</v>
      </c>
      <c r="D185" s="6" t="s">
        <v>73</v>
      </c>
      <c r="E185" s="6" t="s">
        <v>268</v>
      </c>
      <c r="F185" s="6" t="s">
        <v>275</v>
      </c>
      <c r="G185" s="6" t="s">
        <v>75</v>
      </c>
      <c r="H185" s="18">
        <v>1</v>
      </c>
      <c r="I185" s="26"/>
      <c r="J185" s="20" t="s">
        <v>64</v>
      </c>
      <c r="K185" s="20" t="s">
        <v>60</v>
      </c>
      <c r="L185" s="20" t="s">
        <v>60</v>
      </c>
    </row>
    <row r="186" ht="42" customHeight="1" spans="1:12">
      <c r="A186" s="17">
        <v>46419</v>
      </c>
      <c r="B186" s="8">
        <v>27</v>
      </c>
      <c r="C186" s="6" t="s">
        <v>32</v>
      </c>
      <c r="D186" s="6" t="s">
        <v>50</v>
      </c>
      <c r="E186" s="6" t="s">
        <v>276</v>
      </c>
      <c r="F186" s="6" t="s">
        <v>277</v>
      </c>
      <c r="G186" s="6" t="s">
        <v>53</v>
      </c>
      <c r="H186" s="18">
        <v>1.5</v>
      </c>
      <c r="I186" s="26"/>
      <c r="J186" s="20" t="s">
        <v>64</v>
      </c>
      <c r="K186" s="20" t="s">
        <v>60</v>
      </c>
      <c r="L186" s="20" t="s">
        <v>60</v>
      </c>
    </row>
    <row r="187" ht="42" customHeight="1" spans="1:12">
      <c r="A187" s="17">
        <v>46420</v>
      </c>
      <c r="B187" s="8">
        <v>27</v>
      </c>
      <c r="C187" s="6" t="s">
        <v>32</v>
      </c>
      <c r="D187" s="6" t="s">
        <v>56</v>
      </c>
      <c r="E187" s="6" t="s">
        <v>276</v>
      </c>
      <c r="F187" s="6" t="s">
        <v>278</v>
      </c>
      <c r="G187" s="6" t="s">
        <v>58</v>
      </c>
      <c r="H187" s="18">
        <v>1.5</v>
      </c>
      <c r="I187" s="26"/>
      <c r="J187" s="20" t="s">
        <v>64</v>
      </c>
      <c r="K187" s="20" t="s">
        <v>60</v>
      </c>
      <c r="L187" s="20" t="s">
        <v>60</v>
      </c>
    </row>
    <row r="188" ht="42" customHeight="1" spans="1:12">
      <c r="A188" s="17">
        <v>46421</v>
      </c>
      <c r="B188" s="8">
        <v>27</v>
      </c>
      <c r="C188" s="6" t="s">
        <v>32</v>
      </c>
      <c r="D188" s="6" t="s">
        <v>61</v>
      </c>
      <c r="E188" s="6" t="s">
        <v>276</v>
      </c>
      <c r="F188" s="6" t="s">
        <v>279</v>
      </c>
      <c r="G188" s="6" t="s">
        <v>63</v>
      </c>
      <c r="H188" s="18">
        <v>1.5</v>
      </c>
      <c r="I188" s="26"/>
      <c r="J188" s="20" t="s">
        <v>64</v>
      </c>
      <c r="K188" s="20" t="s">
        <v>60</v>
      </c>
      <c r="L188" s="20" t="s">
        <v>60</v>
      </c>
    </row>
    <row r="189" ht="42" customHeight="1" spans="1:12">
      <c r="A189" s="17">
        <v>46422</v>
      </c>
      <c r="B189" s="8">
        <v>27</v>
      </c>
      <c r="C189" s="6" t="s">
        <v>32</v>
      </c>
      <c r="D189" s="6" t="s">
        <v>65</v>
      </c>
      <c r="E189" s="6" t="s">
        <v>276</v>
      </c>
      <c r="F189" s="6" t="s">
        <v>280</v>
      </c>
      <c r="G189" s="6" t="s">
        <v>67</v>
      </c>
      <c r="H189" s="18">
        <v>1.5</v>
      </c>
      <c r="I189" s="26"/>
      <c r="J189" s="20" t="s">
        <v>64</v>
      </c>
      <c r="K189" s="20" t="s">
        <v>60</v>
      </c>
      <c r="L189" s="20" t="s">
        <v>60</v>
      </c>
    </row>
    <row r="190" ht="42" customHeight="1" spans="1:12">
      <c r="A190" s="17">
        <v>46423</v>
      </c>
      <c r="B190" s="8">
        <v>27</v>
      </c>
      <c r="C190" s="6" t="s">
        <v>32</v>
      </c>
      <c r="D190" s="6" t="s">
        <v>68</v>
      </c>
      <c r="E190" s="6" t="s">
        <v>276</v>
      </c>
      <c r="F190" s="6" t="s">
        <v>281</v>
      </c>
      <c r="G190" s="6" t="s">
        <v>70</v>
      </c>
      <c r="H190" s="18">
        <v>1.5</v>
      </c>
      <c r="I190" s="26"/>
      <c r="J190" s="20" t="s">
        <v>64</v>
      </c>
      <c r="K190" s="20" t="s">
        <v>60</v>
      </c>
      <c r="L190" s="20" t="s">
        <v>60</v>
      </c>
    </row>
    <row r="191" ht="42" customHeight="1" spans="1:12">
      <c r="A191" s="17">
        <v>46424</v>
      </c>
      <c r="B191" s="8">
        <v>27</v>
      </c>
      <c r="C191" s="6" t="s">
        <v>32</v>
      </c>
      <c r="D191" s="6" t="s">
        <v>71</v>
      </c>
      <c r="E191" s="6" t="s">
        <v>276</v>
      </c>
      <c r="F191" s="6" t="s">
        <v>282</v>
      </c>
      <c r="G191" s="6"/>
      <c r="H191" s="18">
        <v>4</v>
      </c>
      <c r="I191" s="26"/>
      <c r="J191" s="20" t="s">
        <v>64</v>
      </c>
      <c r="K191" s="20" t="s">
        <v>60</v>
      </c>
      <c r="L191" s="20" t="s">
        <v>60</v>
      </c>
    </row>
    <row r="192" ht="42" customHeight="1" spans="1:12">
      <c r="A192" s="17">
        <v>46425</v>
      </c>
      <c r="B192" s="8">
        <v>27</v>
      </c>
      <c r="C192" s="6" t="s">
        <v>32</v>
      </c>
      <c r="D192" s="6" t="s">
        <v>73</v>
      </c>
      <c r="E192" s="6" t="s">
        <v>276</v>
      </c>
      <c r="F192" s="6" t="s">
        <v>283</v>
      </c>
      <c r="G192" s="6" t="s">
        <v>75</v>
      </c>
      <c r="H192" s="18">
        <v>1</v>
      </c>
      <c r="I192" s="26"/>
      <c r="J192" s="20" t="s">
        <v>64</v>
      </c>
      <c r="K192" s="20" t="s">
        <v>60</v>
      </c>
      <c r="L192" s="20" t="s">
        <v>60</v>
      </c>
    </row>
    <row r="193" ht="42" customHeight="1" spans="1:12">
      <c r="A193" s="17">
        <v>46426</v>
      </c>
      <c r="B193" s="8">
        <v>28</v>
      </c>
      <c r="C193" s="6" t="s">
        <v>32</v>
      </c>
      <c r="D193" s="6" t="s">
        <v>50</v>
      </c>
      <c r="E193" s="6" t="s">
        <v>284</v>
      </c>
      <c r="F193" s="6" t="s">
        <v>285</v>
      </c>
      <c r="G193" s="6" t="s">
        <v>53</v>
      </c>
      <c r="H193" s="18">
        <v>1.5</v>
      </c>
      <c r="I193" s="26"/>
      <c r="J193" s="20" t="s">
        <v>64</v>
      </c>
      <c r="K193" s="20" t="s">
        <v>60</v>
      </c>
      <c r="L193" s="20" t="s">
        <v>60</v>
      </c>
    </row>
    <row r="194" ht="42" customHeight="1" spans="1:12">
      <c r="A194" s="17">
        <v>46427</v>
      </c>
      <c r="B194" s="8">
        <v>28</v>
      </c>
      <c r="C194" s="6" t="s">
        <v>32</v>
      </c>
      <c r="D194" s="6" t="s">
        <v>56</v>
      </c>
      <c r="E194" s="6" t="s">
        <v>284</v>
      </c>
      <c r="F194" s="6" t="s">
        <v>286</v>
      </c>
      <c r="G194" s="6" t="s">
        <v>58</v>
      </c>
      <c r="H194" s="18">
        <v>1.5</v>
      </c>
      <c r="I194" s="26"/>
      <c r="J194" s="20" t="s">
        <v>64</v>
      </c>
      <c r="K194" s="20" t="s">
        <v>60</v>
      </c>
      <c r="L194" s="20" t="s">
        <v>60</v>
      </c>
    </row>
    <row r="195" ht="42" customHeight="1" spans="1:12">
      <c r="A195" s="17">
        <v>46428</v>
      </c>
      <c r="B195" s="8">
        <v>28</v>
      </c>
      <c r="C195" s="6" t="s">
        <v>32</v>
      </c>
      <c r="D195" s="6" t="s">
        <v>61</v>
      </c>
      <c r="E195" s="6" t="s">
        <v>284</v>
      </c>
      <c r="F195" s="6" t="s">
        <v>287</v>
      </c>
      <c r="G195" s="6" t="s">
        <v>63</v>
      </c>
      <c r="H195" s="18">
        <v>1.5</v>
      </c>
      <c r="I195" s="26"/>
      <c r="J195" s="20" t="s">
        <v>64</v>
      </c>
      <c r="K195" s="20" t="s">
        <v>60</v>
      </c>
      <c r="L195" s="20" t="s">
        <v>60</v>
      </c>
    </row>
    <row r="196" ht="42" customHeight="1" spans="1:12">
      <c r="A196" s="17">
        <v>46429</v>
      </c>
      <c r="B196" s="8">
        <v>28</v>
      </c>
      <c r="C196" s="6" t="s">
        <v>32</v>
      </c>
      <c r="D196" s="6" t="s">
        <v>65</v>
      </c>
      <c r="E196" s="6" t="s">
        <v>284</v>
      </c>
      <c r="F196" s="6" t="s">
        <v>288</v>
      </c>
      <c r="G196" s="6" t="s">
        <v>67</v>
      </c>
      <c r="H196" s="18">
        <v>1.5</v>
      </c>
      <c r="I196" s="26"/>
      <c r="J196" s="20" t="s">
        <v>64</v>
      </c>
      <c r="K196" s="20" t="s">
        <v>60</v>
      </c>
      <c r="L196" s="20" t="s">
        <v>60</v>
      </c>
    </row>
    <row r="197" ht="42" customHeight="1" spans="1:12">
      <c r="A197" s="17">
        <v>46430</v>
      </c>
      <c r="B197" s="8">
        <v>28</v>
      </c>
      <c r="C197" s="6" t="s">
        <v>32</v>
      </c>
      <c r="D197" s="6" t="s">
        <v>68</v>
      </c>
      <c r="E197" s="6" t="s">
        <v>284</v>
      </c>
      <c r="F197" s="6" t="s">
        <v>289</v>
      </c>
      <c r="G197" s="6" t="s">
        <v>70</v>
      </c>
      <c r="H197" s="18">
        <v>1.5</v>
      </c>
      <c r="I197" s="26"/>
      <c r="J197" s="20" t="s">
        <v>64</v>
      </c>
      <c r="K197" s="20" t="s">
        <v>60</v>
      </c>
      <c r="L197" s="20" t="s">
        <v>60</v>
      </c>
    </row>
    <row r="198" ht="42" customHeight="1" spans="1:12">
      <c r="A198" s="17">
        <v>46431</v>
      </c>
      <c r="B198" s="8">
        <v>28</v>
      </c>
      <c r="C198" s="6" t="s">
        <v>32</v>
      </c>
      <c r="D198" s="6" t="s">
        <v>71</v>
      </c>
      <c r="E198" s="6" t="s">
        <v>284</v>
      </c>
      <c r="F198" s="6" t="s">
        <v>290</v>
      </c>
      <c r="G198" s="6"/>
      <c r="H198" s="18">
        <v>4</v>
      </c>
      <c r="I198" s="26"/>
      <c r="J198" s="20" t="s">
        <v>64</v>
      </c>
      <c r="K198" s="20" t="s">
        <v>60</v>
      </c>
      <c r="L198" s="20" t="s">
        <v>60</v>
      </c>
    </row>
    <row r="199" ht="42" customHeight="1" spans="1:12">
      <c r="A199" s="17">
        <v>46432</v>
      </c>
      <c r="B199" s="8">
        <v>28</v>
      </c>
      <c r="C199" s="6" t="s">
        <v>32</v>
      </c>
      <c r="D199" s="6" t="s">
        <v>73</v>
      </c>
      <c r="E199" s="6" t="s">
        <v>284</v>
      </c>
      <c r="F199" s="6" t="s">
        <v>291</v>
      </c>
      <c r="G199" s="6" t="s">
        <v>75</v>
      </c>
      <c r="H199" s="18">
        <v>1</v>
      </c>
      <c r="I199" s="26"/>
      <c r="J199" s="20" t="s">
        <v>64</v>
      </c>
      <c r="K199" s="20" t="s">
        <v>60</v>
      </c>
      <c r="L199" s="20" t="s">
        <v>60</v>
      </c>
    </row>
    <row r="200" ht="42" customHeight="1" spans="1:12">
      <c r="A200" s="17">
        <v>46433</v>
      </c>
      <c r="B200" s="8">
        <v>29</v>
      </c>
      <c r="C200" s="6" t="s">
        <v>32</v>
      </c>
      <c r="D200" s="6" t="s">
        <v>50</v>
      </c>
      <c r="E200" s="6" t="s">
        <v>292</v>
      </c>
      <c r="F200" s="6" t="s">
        <v>293</v>
      </c>
      <c r="G200" s="6" t="s">
        <v>53</v>
      </c>
      <c r="H200" s="18">
        <v>1.5</v>
      </c>
      <c r="I200" s="26"/>
      <c r="J200" s="20" t="s">
        <v>64</v>
      </c>
      <c r="K200" s="20" t="s">
        <v>60</v>
      </c>
      <c r="L200" s="20" t="s">
        <v>60</v>
      </c>
    </row>
    <row r="201" ht="42" customHeight="1" spans="1:12">
      <c r="A201" s="17">
        <v>46434</v>
      </c>
      <c r="B201" s="8">
        <v>29</v>
      </c>
      <c r="C201" s="6" t="s">
        <v>32</v>
      </c>
      <c r="D201" s="6" t="s">
        <v>56</v>
      </c>
      <c r="E201" s="6" t="s">
        <v>292</v>
      </c>
      <c r="F201" s="6" t="s">
        <v>294</v>
      </c>
      <c r="G201" s="6" t="s">
        <v>58</v>
      </c>
      <c r="H201" s="18">
        <v>1.5</v>
      </c>
      <c r="I201" s="26"/>
      <c r="J201" s="20" t="s">
        <v>64</v>
      </c>
      <c r="K201" s="20" t="s">
        <v>60</v>
      </c>
      <c r="L201" s="20" t="s">
        <v>60</v>
      </c>
    </row>
    <row r="202" ht="42" customHeight="1" spans="1:12">
      <c r="A202" s="17">
        <v>46435</v>
      </c>
      <c r="B202" s="8">
        <v>29</v>
      </c>
      <c r="C202" s="6" t="s">
        <v>32</v>
      </c>
      <c r="D202" s="6" t="s">
        <v>61</v>
      </c>
      <c r="E202" s="6" t="s">
        <v>292</v>
      </c>
      <c r="F202" s="6" t="s">
        <v>295</v>
      </c>
      <c r="G202" s="6" t="s">
        <v>63</v>
      </c>
      <c r="H202" s="18">
        <v>1.5</v>
      </c>
      <c r="I202" s="26"/>
      <c r="J202" s="20" t="s">
        <v>64</v>
      </c>
      <c r="K202" s="20" t="s">
        <v>60</v>
      </c>
      <c r="L202" s="20" t="s">
        <v>60</v>
      </c>
    </row>
    <row r="203" ht="42" customHeight="1" spans="1:12">
      <c r="A203" s="17">
        <v>46436</v>
      </c>
      <c r="B203" s="8">
        <v>29</v>
      </c>
      <c r="C203" s="6" t="s">
        <v>32</v>
      </c>
      <c r="D203" s="6" t="s">
        <v>65</v>
      </c>
      <c r="E203" s="6" t="s">
        <v>292</v>
      </c>
      <c r="F203" s="6" t="s">
        <v>296</v>
      </c>
      <c r="G203" s="6" t="s">
        <v>67</v>
      </c>
      <c r="H203" s="18">
        <v>1.5</v>
      </c>
      <c r="I203" s="26"/>
      <c r="J203" s="20" t="s">
        <v>64</v>
      </c>
      <c r="K203" s="20" t="s">
        <v>60</v>
      </c>
      <c r="L203" s="20" t="s">
        <v>60</v>
      </c>
    </row>
    <row r="204" ht="42" customHeight="1" spans="1:12">
      <c r="A204" s="17">
        <v>46437</v>
      </c>
      <c r="B204" s="8">
        <v>29</v>
      </c>
      <c r="C204" s="6" t="s">
        <v>32</v>
      </c>
      <c r="D204" s="6" t="s">
        <v>68</v>
      </c>
      <c r="E204" s="6" t="s">
        <v>292</v>
      </c>
      <c r="F204" s="6" t="s">
        <v>297</v>
      </c>
      <c r="G204" s="6" t="s">
        <v>70</v>
      </c>
      <c r="H204" s="18">
        <v>1.5</v>
      </c>
      <c r="I204" s="26"/>
      <c r="J204" s="20" t="s">
        <v>64</v>
      </c>
      <c r="K204" s="20" t="s">
        <v>60</v>
      </c>
      <c r="L204" s="20" t="s">
        <v>60</v>
      </c>
    </row>
    <row r="205" ht="42" customHeight="1" spans="1:12">
      <c r="A205" s="17">
        <v>46438</v>
      </c>
      <c r="B205" s="8">
        <v>29</v>
      </c>
      <c r="C205" s="6" t="s">
        <v>32</v>
      </c>
      <c r="D205" s="6" t="s">
        <v>71</v>
      </c>
      <c r="E205" s="6" t="s">
        <v>292</v>
      </c>
      <c r="F205" s="6" t="s">
        <v>298</v>
      </c>
      <c r="G205" s="6"/>
      <c r="H205" s="18">
        <v>4</v>
      </c>
      <c r="I205" s="26"/>
      <c r="J205" s="20" t="s">
        <v>64</v>
      </c>
      <c r="K205" s="20" t="s">
        <v>60</v>
      </c>
      <c r="L205" s="20" t="s">
        <v>60</v>
      </c>
    </row>
    <row r="206" ht="42" customHeight="1" spans="1:12">
      <c r="A206" s="17">
        <v>46439</v>
      </c>
      <c r="B206" s="8">
        <v>29</v>
      </c>
      <c r="C206" s="6" t="s">
        <v>32</v>
      </c>
      <c r="D206" s="6" t="s">
        <v>73</v>
      </c>
      <c r="E206" s="6" t="s">
        <v>292</v>
      </c>
      <c r="F206" s="6" t="s">
        <v>299</v>
      </c>
      <c r="G206" s="6" t="s">
        <v>75</v>
      </c>
      <c r="H206" s="18">
        <v>1</v>
      </c>
      <c r="I206" s="26"/>
      <c r="J206" s="20" t="s">
        <v>64</v>
      </c>
      <c r="K206" s="20" t="s">
        <v>60</v>
      </c>
      <c r="L206" s="20" t="s">
        <v>60</v>
      </c>
    </row>
    <row r="207" ht="42" customHeight="1" spans="1:12">
      <c r="A207" s="17">
        <v>46440</v>
      </c>
      <c r="B207" s="8">
        <v>30</v>
      </c>
      <c r="C207" s="6" t="s">
        <v>32</v>
      </c>
      <c r="D207" s="6" t="s">
        <v>50</v>
      </c>
      <c r="E207" s="6" t="s">
        <v>300</v>
      </c>
      <c r="F207" s="6" t="s">
        <v>301</v>
      </c>
      <c r="G207" s="6" t="s">
        <v>53</v>
      </c>
      <c r="H207" s="18">
        <v>1.5</v>
      </c>
      <c r="I207" s="26"/>
      <c r="J207" s="20" t="s">
        <v>64</v>
      </c>
      <c r="K207" s="20" t="s">
        <v>60</v>
      </c>
      <c r="L207" s="20" t="s">
        <v>60</v>
      </c>
    </row>
    <row r="208" ht="42" customHeight="1" spans="1:12">
      <c r="A208" s="17">
        <v>46441</v>
      </c>
      <c r="B208" s="8">
        <v>30</v>
      </c>
      <c r="C208" s="6" t="s">
        <v>32</v>
      </c>
      <c r="D208" s="6" t="s">
        <v>56</v>
      </c>
      <c r="E208" s="6" t="s">
        <v>300</v>
      </c>
      <c r="F208" s="6" t="s">
        <v>302</v>
      </c>
      <c r="G208" s="6" t="s">
        <v>58</v>
      </c>
      <c r="H208" s="18">
        <v>1.5</v>
      </c>
      <c r="I208" s="26"/>
      <c r="J208" s="20" t="s">
        <v>64</v>
      </c>
      <c r="K208" s="20" t="s">
        <v>60</v>
      </c>
      <c r="L208" s="20" t="s">
        <v>60</v>
      </c>
    </row>
    <row r="209" ht="42" customHeight="1" spans="1:12">
      <c r="A209" s="17">
        <v>46442</v>
      </c>
      <c r="B209" s="8">
        <v>30</v>
      </c>
      <c r="C209" s="6" t="s">
        <v>32</v>
      </c>
      <c r="D209" s="6" t="s">
        <v>61</v>
      </c>
      <c r="E209" s="6" t="s">
        <v>300</v>
      </c>
      <c r="F209" s="6" t="s">
        <v>303</v>
      </c>
      <c r="G209" s="6" t="s">
        <v>63</v>
      </c>
      <c r="H209" s="18">
        <v>1.5</v>
      </c>
      <c r="I209" s="26"/>
      <c r="J209" s="20" t="s">
        <v>64</v>
      </c>
      <c r="K209" s="20" t="s">
        <v>60</v>
      </c>
      <c r="L209" s="20" t="s">
        <v>60</v>
      </c>
    </row>
    <row r="210" ht="42" customHeight="1" spans="1:12">
      <c r="A210" s="17">
        <v>46443</v>
      </c>
      <c r="B210" s="8">
        <v>30</v>
      </c>
      <c r="C210" s="6" t="s">
        <v>32</v>
      </c>
      <c r="D210" s="6" t="s">
        <v>65</v>
      </c>
      <c r="E210" s="6" t="s">
        <v>300</v>
      </c>
      <c r="F210" s="6" t="s">
        <v>304</v>
      </c>
      <c r="G210" s="6" t="s">
        <v>67</v>
      </c>
      <c r="H210" s="18">
        <v>1.5</v>
      </c>
      <c r="I210" s="26"/>
      <c r="J210" s="20" t="s">
        <v>64</v>
      </c>
      <c r="K210" s="20" t="s">
        <v>60</v>
      </c>
      <c r="L210" s="20" t="s">
        <v>60</v>
      </c>
    </row>
    <row r="211" ht="42" customHeight="1" spans="1:12">
      <c r="A211" s="17">
        <v>46444</v>
      </c>
      <c r="B211" s="8">
        <v>30</v>
      </c>
      <c r="C211" s="6" t="s">
        <v>32</v>
      </c>
      <c r="D211" s="6" t="s">
        <v>68</v>
      </c>
      <c r="E211" s="6" t="s">
        <v>300</v>
      </c>
      <c r="F211" s="6" t="s">
        <v>305</v>
      </c>
      <c r="G211" s="6" t="s">
        <v>70</v>
      </c>
      <c r="H211" s="18">
        <v>1.5</v>
      </c>
      <c r="I211" s="26"/>
      <c r="J211" s="20" t="s">
        <v>64</v>
      </c>
      <c r="K211" s="20" t="s">
        <v>60</v>
      </c>
      <c r="L211" s="20" t="s">
        <v>60</v>
      </c>
    </row>
    <row r="212" ht="42" customHeight="1" spans="1:12">
      <c r="A212" s="17">
        <v>46445</v>
      </c>
      <c r="B212" s="8">
        <v>30</v>
      </c>
      <c r="C212" s="6" t="s">
        <v>32</v>
      </c>
      <c r="D212" s="6" t="s">
        <v>71</v>
      </c>
      <c r="E212" s="6" t="s">
        <v>300</v>
      </c>
      <c r="F212" s="6" t="s">
        <v>306</v>
      </c>
      <c r="G212" s="6"/>
      <c r="H212" s="18">
        <v>4</v>
      </c>
      <c r="I212" s="26"/>
      <c r="J212" s="20" t="s">
        <v>64</v>
      </c>
      <c r="K212" s="20" t="s">
        <v>60</v>
      </c>
      <c r="L212" s="20" t="s">
        <v>60</v>
      </c>
    </row>
    <row r="213" ht="42" customHeight="1" spans="1:12">
      <c r="A213" s="17">
        <v>46446</v>
      </c>
      <c r="B213" s="8">
        <v>30</v>
      </c>
      <c r="C213" s="6" t="s">
        <v>32</v>
      </c>
      <c r="D213" s="6" t="s">
        <v>73</v>
      </c>
      <c r="E213" s="6" t="s">
        <v>300</v>
      </c>
      <c r="F213" s="6" t="s">
        <v>307</v>
      </c>
      <c r="G213" s="6" t="s">
        <v>75</v>
      </c>
      <c r="H213" s="18">
        <v>1</v>
      </c>
      <c r="I213" s="26"/>
      <c r="J213" s="20" t="s">
        <v>64</v>
      </c>
      <c r="K213" s="20" t="s">
        <v>60</v>
      </c>
      <c r="L213" s="20" t="s">
        <v>60</v>
      </c>
    </row>
    <row r="214" ht="42" customHeight="1" spans="1:12">
      <c r="A214" s="17">
        <v>46447</v>
      </c>
      <c r="B214" s="8">
        <v>31</v>
      </c>
      <c r="C214" s="6" t="s">
        <v>32</v>
      </c>
      <c r="D214" s="6" t="s">
        <v>50</v>
      </c>
      <c r="E214" s="6" t="s">
        <v>308</v>
      </c>
      <c r="F214" s="6" t="s">
        <v>309</v>
      </c>
      <c r="G214" s="6" t="s">
        <v>53</v>
      </c>
      <c r="H214" s="18">
        <v>1.5</v>
      </c>
      <c r="I214" s="26"/>
      <c r="J214" s="20" t="s">
        <v>64</v>
      </c>
      <c r="K214" s="20" t="s">
        <v>60</v>
      </c>
      <c r="L214" s="20" t="s">
        <v>60</v>
      </c>
    </row>
    <row r="215" ht="42" customHeight="1" spans="1:12">
      <c r="A215" s="17">
        <v>46448</v>
      </c>
      <c r="B215" s="8">
        <v>31</v>
      </c>
      <c r="C215" s="6" t="s">
        <v>32</v>
      </c>
      <c r="D215" s="6" t="s">
        <v>56</v>
      </c>
      <c r="E215" s="6" t="s">
        <v>308</v>
      </c>
      <c r="F215" s="6" t="s">
        <v>310</v>
      </c>
      <c r="G215" s="6" t="s">
        <v>58</v>
      </c>
      <c r="H215" s="18">
        <v>1.5</v>
      </c>
      <c r="I215" s="26"/>
      <c r="J215" s="20" t="s">
        <v>64</v>
      </c>
      <c r="K215" s="20" t="s">
        <v>60</v>
      </c>
      <c r="L215" s="20" t="s">
        <v>60</v>
      </c>
    </row>
    <row r="216" ht="42" customHeight="1" spans="1:12">
      <c r="A216" s="17">
        <v>46449</v>
      </c>
      <c r="B216" s="8">
        <v>31</v>
      </c>
      <c r="C216" s="6" t="s">
        <v>32</v>
      </c>
      <c r="D216" s="6" t="s">
        <v>61</v>
      </c>
      <c r="E216" s="6" t="s">
        <v>308</v>
      </c>
      <c r="F216" s="6" t="s">
        <v>311</v>
      </c>
      <c r="G216" s="6" t="s">
        <v>63</v>
      </c>
      <c r="H216" s="18">
        <v>1.5</v>
      </c>
      <c r="I216" s="26"/>
      <c r="J216" s="20" t="s">
        <v>64</v>
      </c>
      <c r="K216" s="20" t="s">
        <v>60</v>
      </c>
      <c r="L216" s="20" t="s">
        <v>60</v>
      </c>
    </row>
    <row r="217" ht="42" customHeight="1" spans="1:12">
      <c r="A217" s="17">
        <v>46450</v>
      </c>
      <c r="B217" s="8">
        <v>31</v>
      </c>
      <c r="C217" s="6" t="s">
        <v>32</v>
      </c>
      <c r="D217" s="6" t="s">
        <v>65</v>
      </c>
      <c r="E217" s="6" t="s">
        <v>308</v>
      </c>
      <c r="F217" s="6" t="s">
        <v>312</v>
      </c>
      <c r="G217" s="6" t="s">
        <v>67</v>
      </c>
      <c r="H217" s="18">
        <v>1.5</v>
      </c>
      <c r="I217" s="26"/>
      <c r="J217" s="20" t="s">
        <v>64</v>
      </c>
      <c r="K217" s="20" t="s">
        <v>60</v>
      </c>
      <c r="L217" s="20" t="s">
        <v>60</v>
      </c>
    </row>
    <row r="218" ht="42" customHeight="1" spans="1:12">
      <c r="A218" s="17">
        <v>46451</v>
      </c>
      <c r="B218" s="8">
        <v>31</v>
      </c>
      <c r="C218" s="6" t="s">
        <v>32</v>
      </c>
      <c r="D218" s="6" t="s">
        <v>68</v>
      </c>
      <c r="E218" s="6" t="s">
        <v>308</v>
      </c>
      <c r="F218" s="6" t="s">
        <v>313</v>
      </c>
      <c r="G218" s="6" t="s">
        <v>70</v>
      </c>
      <c r="H218" s="18">
        <v>1.5</v>
      </c>
      <c r="I218" s="26"/>
      <c r="J218" s="20" t="s">
        <v>64</v>
      </c>
      <c r="K218" s="20" t="s">
        <v>60</v>
      </c>
      <c r="L218" s="20" t="s">
        <v>60</v>
      </c>
    </row>
    <row r="219" ht="42" customHeight="1" spans="1:12">
      <c r="A219" s="17">
        <v>46452</v>
      </c>
      <c r="B219" s="8">
        <v>31</v>
      </c>
      <c r="C219" s="6" t="s">
        <v>32</v>
      </c>
      <c r="D219" s="6" t="s">
        <v>71</v>
      </c>
      <c r="E219" s="6" t="s">
        <v>308</v>
      </c>
      <c r="F219" s="6" t="s">
        <v>314</v>
      </c>
      <c r="G219" s="6"/>
      <c r="H219" s="18">
        <v>4</v>
      </c>
      <c r="I219" s="26"/>
      <c r="J219" s="20" t="s">
        <v>64</v>
      </c>
      <c r="K219" s="20" t="s">
        <v>60</v>
      </c>
      <c r="L219" s="20" t="s">
        <v>60</v>
      </c>
    </row>
    <row r="220" ht="42" customHeight="1" spans="1:12">
      <c r="A220" s="17">
        <v>46453</v>
      </c>
      <c r="B220" s="8">
        <v>31</v>
      </c>
      <c r="C220" s="6" t="s">
        <v>32</v>
      </c>
      <c r="D220" s="6" t="s">
        <v>73</v>
      </c>
      <c r="E220" s="6" t="s">
        <v>308</v>
      </c>
      <c r="F220" s="6" t="s">
        <v>315</v>
      </c>
      <c r="G220" s="6" t="s">
        <v>75</v>
      </c>
      <c r="H220" s="18">
        <v>1</v>
      </c>
      <c r="I220" s="26"/>
      <c r="J220" s="20" t="s">
        <v>64</v>
      </c>
      <c r="K220" s="20" t="s">
        <v>60</v>
      </c>
      <c r="L220" s="20" t="s">
        <v>60</v>
      </c>
    </row>
    <row r="221" ht="42" customHeight="1" spans="1:12">
      <c r="A221" s="17">
        <v>46454</v>
      </c>
      <c r="B221" s="8">
        <v>32</v>
      </c>
      <c r="C221" s="6" t="s">
        <v>32</v>
      </c>
      <c r="D221" s="6" t="s">
        <v>50</v>
      </c>
      <c r="E221" s="6" t="s">
        <v>316</v>
      </c>
      <c r="F221" s="6" t="s">
        <v>317</v>
      </c>
      <c r="G221" s="6" t="s">
        <v>53</v>
      </c>
      <c r="H221" s="18">
        <v>1.5</v>
      </c>
      <c r="I221" s="26"/>
      <c r="J221" s="20" t="s">
        <v>64</v>
      </c>
      <c r="K221" s="20" t="s">
        <v>60</v>
      </c>
      <c r="L221" s="20" t="s">
        <v>60</v>
      </c>
    </row>
    <row r="222" ht="42" customHeight="1" spans="1:12">
      <c r="A222" s="17">
        <v>46455</v>
      </c>
      <c r="B222" s="8">
        <v>32</v>
      </c>
      <c r="C222" s="6" t="s">
        <v>32</v>
      </c>
      <c r="D222" s="6" t="s">
        <v>56</v>
      </c>
      <c r="E222" s="6" t="s">
        <v>316</v>
      </c>
      <c r="F222" s="6" t="s">
        <v>318</v>
      </c>
      <c r="G222" s="6" t="s">
        <v>58</v>
      </c>
      <c r="H222" s="18">
        <v>1.5</v>
      </c>
      <c r="I222" s="26"/>
      <c r="J222" s="20" t="s">
        <v>64</v>
      </c>
      <c r="K222" s="20" t="s">
        <v>60</v>
      </c>
      <c r="L222" s="20" t="s">
        <v>60</v>
      </c>
    </row>
    <row r="223" ht="42" customHeight="1" spans="1:12">
      <c r="A223" s="17">
        <v>46456</v>
      </c>
      <c r="B223" s="8">
        <v>32</v>
      </c>
      <c r="C223" s="6" t="s">
        <v>32</v>
      </c>
      <c r="D223" s="6" t="s">
        <v>61</v>
      </c>
      <c r="E223" s="6" t="s">
        <v>316</v>
      </c>
      <c r="F223" s="6" t="s">
        <v>319</v>
      </c>
      <c r="G223" s="6" t="s">
        <v>63</v>
      </c>
      <c r="H223" s="18">
        <v>1.5</v>
      </c>
      <c r="I223" s="26"/>
      <c r="J223" s="20" t="s">
        <v>64</v>
      </c>
      <c r="K223" s="20" t="s">
        <v>60</v>
      </c>
      <c r="L223" s="20" t="s">
        <v>60</v>
      </c>
    </row>
    <row r="224" ht="42" customHeight="1" spans="1:12">
      <c r="A224" s="17">
        <v>46457</v>
      </c>
      <c r="B224" s="8">
        <v>32</v>
      </c>
      <c r="C224" s="6" t="s">
        <v>32</v>
      </c>
      <c r="D224" s="6" t="s">
        <v>65</v>
      </c>
      <c r="E224" s="6" t="s">
        <v>316</v>
      </c>
      <c r="F224" s="6" t="s">
        <v>320</v>
      </c>
      <c r="G224" s="6" t="s">
        <v>67</v>
      </c>
      <c r="H224" s="18">
        <v>1.5</v>
      </c>
      <c r="I224" s="26"/>
      <c r="J224" s="20" t="s">
        <v>64</v>
      </c>
      <c r="K224" s="20" t="s">
        <v>60</v>
      </c>
      <c r="L224" s="20" t="s">
        <v>60</v>
      </c>
    </row>
    <row r="225" ht="42" customHeight="1" spans="1:12">
      <c r="A225" s="17">
        <v>46458</v>
      </c>
      <c r="B225" s="8">
        <v>32</v>
      </c>
      <c r="C225" s="6" t="s">
        <v>32</v>
      </c>
      <c r="D225" s="6" t="s">
        <v>68</v>
      </c>
      <c r="E225" s="6" t="s">
        <v>316</v>
      </c>
      <c r="F225" s="6" t="s">
        <v>321</v>
      </c>
      <c r="G225" s="6" t="s">
        <v>70</v>
      </c>
      <c r="H225" s="18">
        <v>1.5</v>
      </c>
      <c r="I225" s="26"/>
      <c r="J225" s="20" t="s">
        <v>64</v>
      </c>
      <c r="K225" s="20" t="s">
        <v>60</v>
      </c>
      <c r="L225" s="20" t="s">
        <v>60</v>
      </c>
    </row>
    <row r="226" ht="42" customHeight="1" spans="1:12">
      <c r="A226" s="17">
        <v>46459</v>
      </c>
      <c r="B226" s="8">
        <v>32</v>
      </c>
      <c r="C226" s="6" t="s">
        <v>32</v>
      </c>
      <c r="D226" s="6" t="s">
        <v>71</v>
      </c>
      <c r="E226" s="6" t="s">
        <v>316</v>
      </c>
      <c r="F226" s="6" t="s">
        <v>322</v>
      </c>
      <c r="G226" s="6"/>
      <c r="H226" s="18">
        <v>4</v>
      </c>
      <c r="I226" s="26"/>
      <c r="J226" s="20" t="s">
        <v>64</v>
      </c>
      <c r="K226" s="20" t="s">
        <v>60</v>
      </c>
      <c r="L226" s="20" t="s">
        <v>60</v>
      </c>
    </row>
    <row r="227" ht="42" customHeight="1" spans="1:12">
      <c r="A227" s="17">
        <v>46460</v>
      </c>
      <c r="B227" s="8">
        <v>32</v>
      </c>
      <c r="C227" s="6" t="s">
        <v>32</v>
      </c>
      <c r="D227" s="6" t="s">
        <v>73</v>
      </c>
      <c r="E227" s="6" t="s">
        <v>316</v>
      </c>
      <c r="F227" s="6" t="s">
        <v>323</v>
      </c>
      <c r="G227" s="6" t="s">
        <v>75</v>
      </c>
      <c r="H227" s="18">
        <v>1</v>
      </c>
      <c r="I227" s="26"/>
      <c r="J227" s="20" t="s">
        <v>64</v>
      </c>
      <c r="K227" s="20" t="s">
        <v>60</v>
      </c>
      <c r="L227" s="20" t="s">
        <v>60</v>
      </c>
    </row>
    <row r="228" ht="42" customHeight="1" spans="1:12">
      <c r="A228" s="17">
        <v>46461</v>
      </c>
      <c r="B228" s="8">
        <v>33</v>
      </c>
      <c r="C228" s="6" t="s">
        <v>32</v>
      </c>
      <c r="D228" s="6" t="s">
        <v>50</v>
      </c>
      <c r="E228" s="6" t="s">
        <v>324</v>
      </c>
      <c r="F228" s="6" t="s">
        <v>325</v>
      </c>
      <c r="G228" s="6" t="s">
        <v>53</v>
      </c>
      <c r="H228" s="18">
        <v>1.5</v>
      </c>
      <c r="I228" s="26"/>
      <c r="J228" s="20" t="s">
        <v>64</v>
      </c>
      <c r="K228" s="20" t="s">
        <v>60</v>
      </c>
      <c r="L228" s="20" t="s">
        <v>60</v>
      </c>
    </row>
    <row r="229" ht="42" customHeight="1" spans="1:12">
      <c r="A229" s="17">
        <v>46462</v>
      </c>
      <c r="B229" s="8">
        <v>33</v>
      </c>
      <c r="C229" s="6" t="s">
        <v>32</v>
      </c>
      <c r="D229" s="6" t="s">
        <v>56</v>
      </c>
      <c r="E229" s="6" t="s">
        <v>324</v>
      </c>
      <c r="F229" s="6" t="s">
        <v>326</v>
      </c>
      <c r="G229" s="6" t="s">
        <v>58</v>
      </c>
      <c r="H229" s="18">
        <v>1.5</v>
      </c>
      <c r="I229" s="26"/>
      <c r="J229" s="20" t="s">
        <v>64</v>
      </c>
      <c r="K229" s="20" t="s">
        <v>60</v>
      </c>
      <c r="L229" s="20" t="s">
        <v>60</v>
      </c>
    </row>
    <row r="230" ht="42" customHeight="1" spans="1:12">
      <c r="A230" s="17">
        <v>46463</v>
      </c>
      <c r="B230" s="8">
        <v>33</v>
      </c>
      <c r="C230" s="6" t="s">
        <v>32</v>
      </c>
      <c r="D230" s="6" t="s">
        <v>61</v>
      </c>
      <c r="E230" s="6" t="s">
        <v>324</v>
      </c>
      <c r="F230" s="6" t="s">
        <v>327</v>
      </c>
      <c r="G230" s="6" t="s">
        <v>63</v>
      </c>
      <c r="H230" s="18">
        <v>1.5</v>
      </c>
      <c r="I230" s="26"/>
      <c r="J230" s="20" t="s">
        <v>64</v>
      </c>
      <c r="K230" s="20" t="s">
        <v>60</v>
      </c>
      <c r="L230" s="20" t="s">
        <v>60</v>
      </c>
    </row>
    <row r="231" ht="42" customHeight="1" spans="1:12">
      <c r="A231" s="17">
        <v>46464</v>
      </c>
      <c r="B231" s="8">
        <v>33</v>
      </c>
      <c r="C231" s="6" t="s">
        <v>32</v>
      </c>
      <c r="D231" s="6" t="s">
        <v>65</v>
      </c>
      <c r="E231" s="6" t="s">
        <v>324</v>
      </c>
      <c r="F231" s="6" t="s">
        <v>328</v>
      </c>
      <c r="G231" s="6" t="s">
        <v>67</v>
      </c>
      <c r="H231" s="18">
        <v>1.5</v>
      </c>
      <c r="I231" s="26"/>
      <c r="J231" s="20" t="s">
        <v>64</v>
      </c>
      <c r="K231" s="20" t="s">
        <v>60</v>
      </c>
      <c r="L231" s="20" t="s">
        <v>60</v>
      </c>
    </row>
    <row r="232" ht="42" customHeight="1" spans="1:12">
      <c r="A232" s="17">
        <v>46465</v>
      </c>
      <c r="B232" s="8">
        <v>33</v>
      </c>
      <c r="C232" s="6" t="s">
        <v>32</v>
      </c>
      <c r="D232" s="6" t="s">
        <v>68</v>
      </c>
      <c r="E232" s="6" t="s">
        <v>324</v>
      </c>
      <c r="F232" s="6" t="s">
        <v>329</v>
      </c>
      <c r="G232" s="6" t="s">
        <v>70</v>
      </c>
      <c r="H232" s="18">
        <v>1.5</v>
      </c>
      <c r="I232" s="26"/>
      <c r="J232" s="20" t="s">
        <v>64</v>
      </c>
      <c r="K232" s="20" t="s">
        <v>60</v>
      </c>
      <c r="L232" s="20" t="s">
        <v>60</v>
      </c>
    </row>
    <row r="233" ht="42" customHeight="1" spans="1:12">
      <c r="A233" s="17">
        <v>46466</v>
      </c>
      <c r="B233" s="8">
        <v>33</v>
      </c>
      <c r="C233" s="6" t="s">
        <v>32</v>
      </c>
      <c r="D233" s="6" t="s">
        <v>71</v>
      </c>
      <c r="E233" s="6" t="s">
        <v>324</v>
      </c>
      <c r="F233" s="6" t="s">
        <v>330</v>
      </c>
      <c r="G233" s="6"/>
      <c r="H233" s="18">
        <v>4</v>
      </c>
      <c r="I233" s="26"/>
      <c r="J233" s="20" t="s">
        <v>64</v>
      </c>
      <c r="K233" s="20" t="s">
        <v>60</v>
      </c>
      <c r="L233" s="20" t="s">
        <v>60</v>
      </c>
    </row>
    <row r="234" ht="42" customHeight="1" spans="1:12">
      <c r="A234" s="17">
        <v>46467</v>
      </c>
      <c r="B234" s="8">
        <v>33</v>
      </c>
      <c r="C234" s="6" t="s">
        <v>32</v>
      </c>
      <c r="D234" s="6" t="s">
        <v>73</v>
      </c>
      <c r="E234" s="6" t="s">
        <v>324</v>
      </c>
      <c r="F234" s="6" t="s">
        <v>331</v>
      </c>
      <c r="G234" s="6" t="s">
        <v>75</v>
      </c>
      <c r="H234" s="18">
        <v>1</v>
      </c>
      <c r="I234" s="26"/>
      <c r="J234" s="20" t="s">
        <v>64</v>
      </c>
      <c r="K234" s="20" t="s">
        <v>60</v>
      </c>
      <c r="L234" s="20" t="s">
        <v>60</v>
      </c>
    </row>
    <row r="235" ht="42" customHeight="1" spans="1:12">
      <c r="A235" s="17">
        <v>46468</v>
      </c>
      <c r="B235" s="8">
        <v>34</v>
      </c>
      <c r="C235" s="6" t="s">
        <v>32</v>
      </c>
      <c r="D235" s="6" t="s">
        <v>50</v>
      </c>
      <c r="E235" s="6" t="s">
        <v>332</v>
      </c>
      <c r="F235" s="6" t="s">
        <v>333</v>
      </c>
      <c r="G235" s="6" t="s">
        <v>53</v>
      </c>
      <c r="H235" s="18">
        <v>1.5</v>
      </c>
      <c r="I235" s="26"/>
      <c r="J235" s="20" t="s">
        <v>64</v>
      </c>
      <c r="K235" s="20" t="s">
        <v>60</v>
      </c>
      <c r="L235" s="20" t="s">
        <v>60</v>
      </c>
    </row>
    <row r="236" ht="42" customHeight="1" spans="1:12">
      <c r="A236" s="17">
        <v>46469</v>
      </c>
      <c r="B236" s="8">
        <v>34</v>
      </c>
      <c r="C236" s="6" t="s">
        <v>32</v>
      </c>
      <c r="D236" s="6" t="s">
        <v>56</v>
      </c>
      <c r="E236" s="6" t="s">
        <v>332</v>
      </c>
      <c r="F236" s="6" t="s">
        <v>334</v>
      </c>
      <c r="G236" s="6" t="s">
        <v>58</v>
      </c>
      <c r="H236" s="18">
        <v>1.5</v>
      </c>
      <c r="I236" s="26"/>
      <c r="J236" s="20" t="s">
        <v>64</v>
      </c>
      <c r="K236" s="20" t="s">
        <v>60</v>
      </c>
      <c r="L236" s="20" t="s">
        <v>60</v>
      </c>
    </row>
    <row r="237" ht="42" customHeight="1" spans="1:12">
      <c r="A237" s="17">
        <v>46470</v>
      </c>
      <c r="B237" s="8">
        <v>34</v>
      </c>
      <c r="C237" s="6" t="s">
        <v>32</v>
      </c>
      <c r="D237" s="6" t="s">
        <v>61</v>
      </c>
      <c r="E237" s="6" t="s">
        <v>332</v>
      </c>
      <c r="F237" s="6" t="s">
        <v>335</v>
      </c>
      <c r="G237" s="6" t="s">
        <v>63</v>
      </c>
      <c r="H237" s="18">
        <v>1.5</v>
      </c>
      <c r="I237" s="26"/>
      <c r="J237" s="20" t="s">
        <v>64</v>
      </c>
      <c r="K237" s="20" t="s">
        <v>60</v>
      </c>
      <c r="L237" s="20" t="s">
        <v>60</v>
      </c>
    </row>
    <row r="238" ht="42" customHeight="1" spans="1:12">
      <c r="A238" s="17">
        <v>46471</v>
      </c>
      <c r="B238" s="8">
        <v>34</v>
      </c>
      <c r="C238" s="6" t="s">
        <v>32</v>
      </c>
      <c r="D238" s="6" t="s">
        <v>65</v>
      </c>
      <c r="E238" s="6" t="s">
        <v>332</v>
      </c>
      <c r="F238" s="6" t="s">
        <v>336</v>
      </c>
      <c r="G238" s="6" t="s">
        <v>67</v>
      </c>
      <c r="H238" s="18">
        <v>1.5</v>
      </c>
      <c r="I238" s="26"/>
      <c r="J238" s="20" t="s">
        <v>64</v>
      </c>
      <c r="K238" s="20" t="s">
        <v>60</v>
      </c>
      <c r="L238" s="20" t="s">
        <v>60</v>
      </c>
    </row>
    <row r="239" ht="42" customHeight="1" spans="1:12">
      <c r="A239" s="17">
        <v>46472</v>
      </c>
      <c r="B239" s="8">
        <v>34</v>
      </c>
      <c r="C239" s="6" t="s">
        <v>32</v>
      </c>
      <c r="D239" s="6" t="s">
        <v>68</v>
      </c>
      <c r="E239" s="6" t="s">
        <v>332</v>
      </c>
      <c r="F239" s="6" t="s">
        <v>337</v>
      </c>
      <c r="G239" s="6" t="s">
        <v>70</v>
      </c>
      <c r="H239" s="18">
        <v>1.5</v>
      </c>
      <c r="I239" s="26"/>
      <c r="J239" s="20" t="s">
        <v>64</v>
      </c>
      <c r="K239" s="20" t="s">
        <v>60</v>
      </c>
      <c r="L239" s="20" t="s">
        <v>60</v>
      </c>
    </row>
    <row r="240" ht="42" customHeight="1" spans="1:12">
      <c r="A240" s="17">
        <v>46473</v>
      </c>
      <c r="B240" s="8">
        <v>34</v>
      </c>
      <c r="C240" s="6" t="s">
        <v>32</v>
      </c>
      <c r="D240" s="6" t="s">
        <v>71</v>
      </c>
      <c r="E240" s="6" t="s">
        <v>332</v>
      </c>
      <c r="F240" s="6" t="s">
        <v>338</v>
      </c>
      <c r="G240" s="6"/>
      <c r="H240" s="18">
        <v>4</v>
      </c>
      <c r="I240" s="26"/>
      <c r="J240" s="20" t="s">
        <v>64</v>
      </c>
      <c r="K240" s="20" t="s">
        <v>60</v>
      </c>
      <c r="L240" s="20" t="s">
        <v>60</v>
      </c>
    </row>
    <row r="241" ht="42" customHeight="1" spans="1:12">
      <c r="A241" s="17">
        <v>46474</v>
      </c>
      <c r="B241" s="8">
        <v>34</v>
      </c>
      <c r="C241" s="6" t="s">
        <v>32</v>
      </c>
      <c r="D241" s="6" t="s">
        <v>73</v>
      </c>
      <c r="E241" s="6" t="s">
        <v>332</v>
      </c>
      <c r="F241" s="6" t="s">
        <v>339</v>
      </c>
      <c r="G241" s="6" t="s">
        <v>75</v>
      </c>
      <c r="H241" s="18">
        <v>1</v>
      </c>
      <c r="I241" s="26"/>
      <c r="J241" s="20" t="s">
        <v>64</v>
      </c>
      <c r="K241" s="20" t="s">
        <v>60</v>
      </c>
      <c r="L241" s="20" t="s">
        <v>60</v>
      </c>
    </row>
    <row r="242" ht="42" customHeight="1" spans="1:12">
      <c r="A242" s="17">
        <v>46475</v>
      </c>
      <c r="B242" s="8">
        <v>35</v>
      </c>
      <c r="C242" s="6" t="s">
        <v>32</v>
      </c>
      <c r="D242" s="6" t="s">
        <v>50</v>
      </c>
      <c r="E242" s="6" t="s">
        <v>340</v>
      </c>
      <c r="F242" s="6" t="s">
        <v>341</v>
      </c>
      <c r="G242" s="6" t="s">
        <v>53</v>
      </c>
      <c r="H242" s="18">
        <v>1.5</v>
      </c>
      <c r="I242" s="26"/>
      <c r="J242" s="20" t="s">
        <v>64</v>
      </c>
      <c r="K242" s="20" t="s">
        <v>60</v>
      </c>
      <c r="L242" s="20" t="s">
        <v>60</v>
      </c>
    </row>
    <row r="243" ht="42" customHeight="1" spans="1:12">
      <c r="A243" s="17">
        <v>46476</v>
      </c>
      <c r="B243" s="8">
        <v>35</v>
      </c>
      <c r="C243" s="6" t="s">
        <v>32</v>
      </c>
      <c r="D243" s="6" t="s">
        <v>56</v>
      </c>
      <c r="E243" s="6" t="s">
        <v>340</v>
      </c>
      <c r="F243" s="6" t="s">
        <v>342</v>
      </c>
      <c r="G243" s="6" t="s">
        <v>58</v>
      </c>
      <c r="H243" s="18">
        <v>1.5</v>
      </c>
      <c r="I243" s="26"/>
      <c r="J243" s="20" t="s">
        <v>64</v>
      </c>
      <c r="K243" s="20" t="s">
        <v>60</v>
      </c>
      <c r="L243" s="20" t="s">
        <v>60</v>
      </c>
    </row>
    <row r="244" ht="42" customHeight="1" spans="1:12">
      <c r="A244" s="17">
        <v>46477</v>
      </c>
      <c r="B244" s="8">
        <v>35</v>
      </c>
      <c r="C244" s="6" t="s">
        <v>32</v>
      </c>
      <c r="D244" s="6" t="s">
        <v>61</v>
      </c>
      <c r="E244" s="6" t="s">
        <v>340</v>
      </c>
      <c r="F244" s="6" t="s">
        <v>343</v>
      </c>
      <c r="G244" s="6" t="s">
        <v>63</v>
      </c>
      <c r="H244" s="18">
        <v>1.5</v>
      </c>
      <c r="I244" s="26"/>
      <c r="J244" s="20" t="s">
        <v>64</v>
      </c>
      <c r="K244" s="20" t="s">
        <v>60</v>
      </c>
      <c r="L244" s="20" t="s">
        <v>60</v>
      </c>
    </row>
    <row r="245" ht="42" customHeight="1" spans="1:12">
      <c r="A245" s="17">
        <v>46478</v>
      </c>
      <c r="B245" s="8">
        <v>35</v>
      </c>
      <c r="C245" s="6" t="s">
        <v>32</v>
      </c>
      <c r="D245" s="6" t="s">
        <v>65</v>
      </c>
      <c r="E245" s="6" t="s">
        <v>340</v>
      </c>
      <c r="F245" s="6" t="s">
        <v>344</v>
      </c>
      <c r="G245" s="6" t="s">
        <v>67</v>
      </c>
      <c r="H245" s="18">
        <v>1.5</v>
      </c>
      <c r="I245" s="26"/>
      <c r="J245" s="20" t="s">
        <v>64</v>
      </c>
      <c r="K245" s="20" t="s">
        <v>60</v>
      </c>
      <c r="L245" s="20" t="s">
        <v>60</v>
      </c>
    </row>
    <row r="246" ht="42" customHeight="1" spans="1:12">
      <c r="A246" s="17">
        <v>46479</v>
      </c>
      <c r="B246" s="8">
        <v>35</v>
      </c>
      <c r="C246" s="6" t="s">
        <v>32</v>
      </c>
      <c r="D246" s="6" t="s">
        <v>68</v>
      </c>
      <c r="E246" s="6" t="s">
        <v>340</v>
      </c>
      <c r="F246" s="6" t="s">
        <v>345</v>
      </c>
      <c r="G246" s="6" t="s">
        <v>70</v>
      </c>
      <c r="H246" s="18">
        <v>1.5</v>
      </c>
      <c r="I246" s="26"/>
      <c r="J246" s="20" t="s">
        <v>64</v>
      </c>
      <c r="K246" s="20" t="s">
        <v>60</v>
      </c>
      <c r="L246" s="20" t="s">
        <v>60</v>
      </c>
    </row>
    <row r="247" ht="42" customHeight="1" spans="1:12">
      <c r="A247" s="17">
        <v>46480</v>
      </c>
      <c r="B247" s="8">
        <v>35</v>
      </c>
      <c r="C247" s="6" t="s">
        <v>32</v>
      </c>
      <c r="D247" s="6" t="s">
        <v>71</v>
      </c>
      <c r="E247" s="6" t="s">
        <v>340</v>
      </c>
      <c r="F247" s="6" t="s">
        <v>346</v>
      </c>
      <c r="G247" s="6"/>
      <c r="H247" s="18">
        <v>4</v>
      </c>
      <c r="I247" s="26"/>
      <c r="J247" s="20" t="s">
        <v>64</v>
      </c>
      <c r="K247" s="20" t="s">
        <v>60</v>
      </c>
      <c r="L247" s="20" t="s">
        <v>60</v>
      </c>
    </row>
    <row r="248" ht="42" customHeight="1" spans="1:12">
      <c r="A248" s="17">
        <v>46481</v>
      </c>
      <c r="B248" s="8">
        <v>35</v>
      </c>
      <c r="C248" s="6" t="s">
        <v>32</v>
      </c>
      <c r="D248" s="6" t="s">
        <v>73</v>
      </c>
      <c r="E248" s="6" t="s">
        <v>340</v>
      </c>
      <c r="F248" s="6" t="s">
        <v>347</v>
      </c>
      <c r="G248" s="6" t="s">
        <v>75</v>
      </c>
      <c r="H248" s="18">
        <v>1</v>
      </c>
      <c r="I248" s="26"/>
      <c r="J248" s="20" t="s">
        <v>64</v>
      </c>
      <c r="K248" s="20" t="s">
        <v>60</v>
      </c>
      <c r="L248" s="20" t="s">
        <v>60</v>
      </c>
    </row>
    <row r="249" ht="42" customHeight="1" spans="1:12">
      <c r="A249" s="17">
        <v>46482</v>
      </c>
      <c r="B249" s="8">
        <v>36</v>
      </c>
      <c r="C249" s="6" t="s">
        <v>32</v>
      </c>
      <c r="D249" s="6" t="s">
        <v>50</v>
      </c>
      <c r="E249" s="6" t="s">
        <v>348</v>
      </c>
      <c r="F249" s="6" t="s">
        <v>349</v>
      </c>
      <c r="G249" s="6" t="s">
        <v>53</v>
      </c>
      <c r="H249" s="18">
        <v>1.5</v>
      </c>
      <c r="I249" s="26"/>
      <c r="J249" s="20" t="s">
        <v>64</v>
      </c>
      <c r="K249" s="20" t="s">
        <v>60</v>
      </c>
      <c r="L249" s="20" t="s">
        <v>60</v>
      </c>
    </row>
    <row r="250" ht="42" customHeight="1" spans="1:12">
      <c r="A250" s="17">
        <v>46483</v>
      </c>
      <c r="B250" s="8">
        <v>36</v>
      </c>
      <c r="C250" s="6" t="s">
        <v>32</v>
      </c>
      <c r="D250" s="6" t="s">
        <v>56</v>
      </c>
      <c r="E250" s="6" t="s">
        <v>348</v>
      </c>
      <c r="F250" s="6" t="s">
        <v>350</v>
      </c>
      <c r="G250" s="6" t="s">
        <v>58</v>
      </c>
      <c r="H250" s="18">
        <v>1.5</v>
      </c>
      <c r="I250" s="26"/>
      <c r="J250" s="20" t="s">
        <v>64</v>
      </c>
      <c r="K250" s="20" t="s">
        <v>60</v>
      </c>
      <c r="L250" s="20" t="s">
        <v>60</v>
      </c>
    </row>
    <row r="251" ht="42" customHeight="1" spans="1:12">
      <c r="A251" s="17">
        <v>46484</v>
      </c>
      <c r="B251" s="8">
        <v>36</v>
      </c>
      <c r="C251" s="6" t="s">
        <v>32</v>
      </c>
      <c r="D251" s="6" t="s">
        <v>61</v>
      </c>
      <c r="E251" s="6" t="s">
        <v>348</v>
      </c>
      <c r="F251" s="6" t="s">
        <v>351</v>
      </c>
      <c r="G251" s="6" t="s">
        <v>63</v>
      </c>
      <c r="H251" s="18">
        <v>1.5</v>
      </c>
      <c r="I251" s="26"/>
      <c r="J251" s="20" t="s">
        <v>64</v>
      </c>
      <c r="K251" s="20" t="s">
        <v>60</v>
      </c>
      <c r="L251" s="20" t="s">
        <v>60</v>
      </c>
    </row>
    <row r="252" ht="42" customHeight="1" spans="1:12">
      <c r="A252" s="17">
        <v>46485</v>
      </c>
      <c r="B252" s="8">
        <v>36</v>
      </c>
      <c r="C252" s="6" t="s">
        <v>32</v>
      </c>
      <c r="D252" s="6" t="s">
        <v>65</v>
      </c>
      <c r="E252" s="6" t="s">
        <v>348</v>
      </c>
      <c r="F252" s="6" t="s">
        <v>352</v>
      </c>
      <c r="G252" s="6" t="s">
        <v>67</v>
      </c>
      <c r="H252" s="18">
        <v>1.5</v>
      </c>
      <c r="I252" s="26"/>
      <c r="J252" s="20" t="s">
        <v>64</v>
      </c>
      <c r="K252" s="20" t="s">
        <v>60</v>
      </c>
      <c r="L252" s="20" t="s">
        <v>60</v>
      </c>
    </row>
    <row r="253" ht="42" customHeight="1" spans="1:12">
      <c r="A253" s="17">
        <v>46486</v>
      </c>
      <c r="B253" s="8">
        <v>36</v>
      </c>
      <c r="C253" s="6" t="s">
        <v>32</v>
      </c>
      <c r="D253" s="6" t="s">
        <v>68</v>
      </c>
      <c r="E253" s="6" t="s">
        <v>348</v>
      </c>
      <c r="F253" s="6" t="s">
        <v>353</v>
      </c>
      <c r="G253" s="6" t="s">
        <v>70</v>
      </c>
      <c r="H253" s="18">
        <v>1.5</v>
      </c>
      <c r="I253" s="26"/>
      <c r="J253" s="20" t="s">
        <v>64</v>
      </c>
      <c r="K253" s="20" t="s">
        <v>60</v>
      </c>
      <c r="L253" s="20" t="s">
        <v>60</v>
      </c>
    </row>
    <row r="254" ht="42" customHeight="1" spans="1:12">
      <c r="A254" s="17">
        <v>46487</v>
      </c>
      <c r="B254" s="8">
        <v>36</v>
      </c>
      <c r="C254" s="6" t="s">
        <v>32</v>
      </c>
      <c r="D254" s="6" t="s">
        <v>71</v>
      </c>
      <c r="E254" s="6" t="s">
        <v>348</v>
      </c>
      <c r="F254" s="6" t="s">
        <v>354</v>
      </c>
      <c r="G254" s="6"/>
      <c r="H254" s="18">
        <v>4</v>
      </c>
      <c r="I254" s="26"/>
      <c r="J254" s="20" t="s">
        <v>64</v>
      </c>
      <c r="K254" s="20" t="s">
        <v>60</v>
      </c>
      <c r="L254" s="20" t="s">
        <v>60</v>
      </c>
    </row>
    <row r="255" ht="42" customHeight="1" spans="1:12">
      <c r="A255" s="17">
        <v>46488</v>
      </c>
      <c r="B255" s="8">
        <v>36</v>
      </c>
      <c r="C255" s="6" t="s">
        <v>32</v>
      </c>
      <c r="D255" s="6" t="s">
        <v>73</v>
      </c>
      <c r="E255" s="6" t="s">
        <v>348</v>
      </c>
      <c r="F255" s="6" t="s">
        <v>355</v>
      </c>
      <c r="G255" s="6" t="s">
        <v>75</v>
      </c>
      <c r="H255" s="18">
        <v>1</v>
      </c>
      <c r="I255" s="26"/>
      <c r="J255" s="20" t="s">
        <v>64</v>
      </c>
      <c r="K255" s="20" t="s">
        <v>60</v>
      </c>
      <c r="L255" s="20" t="s">
        <v>60</v>
      </c>
    </row>
    <row r="256" ht="42" customHeight="1" spans="1:12">
      <c r="A256" s="17">
        <v>46489</v>
      </c>
      <c r="B256" s="8">
        <v>37</v>
      </c>
      <c r="C256" s="6" t="s">
        <v>32</v>
      </c>
      <c r="D256" s="6" t="s">
        <v>50</v>
      </c>
      <c r="E256" s="6" t="s">
        <v>356</v>
      </c>
      <c r="F256" s="6" t="s">
        <v>357</v>
      </c>
      <c r="G256" s="6" t="s">
        <v>53</v>
      </c>
      <c r="H256" s="18">
        <v>1.5</v>
      </c>
      <c r="I256" s="26"/>
      <c r="J256" s="20" t="s">
        <v>64</v>
      </c>
      <c r="K256" s="20" t="s">
        <v>60</v>
      </c>
      <c r="L256" s="20" t="s">
        <v>60</v>
      </c>
    </row>
    <row r="257" ht="42" customHeight="1" spans="1:12">
      <c r="A257" s="17">
        <v>46490</v>
      </c>
      <c r="B257" s="8">
        <v>37</v>
      </c>
      <c r="C257" s="6" t="s">
        <v>32</v>
      </c>
      <c r="D257" s="6" t="s">
        <v>56</v>
      </c>
      <c r="E257" s="6" t="s">
        <v>356</v>
      </c>
      <c r="F257" s="6" t="s">
        <v>358</v>
      </c>
      <c r="G257" s="6" t="s">
        <v>58</v>
      </c>
      <c r="H257" s="18">
        <v>1.5</v>
      </c>
      <c r="I257" s="26"/>
      <c r="J257" s="20" t="s">
        <v>64</v>
      </c>
      <c r="K257" s="20" t="s">
        <v>60</v>
      </c>
      <c r="L257" s="20" t="s">
        <v>60</v>
      </c>
    </row>
    <row r="258" ht="42" customHeight="1" spans="1:12">
      <c r="A258" s="17">
        <v>46491</v>
      </c>
      <c r="B258" s="8">
        <v>37</v>
      </c>
      <c r="C258" s="6" t="s">
        <v>32</v>
      </c>
      <c r="D258" s="6" t="s">
        <v>61</v>
      </c>
      <c r="E258" s="6" t="s">
        <v>356</v>
      </c>
      <c r="F258" s="6" t="s">
        <v>359</v>
      </c>
      <c r="G258" s="6" t="s">
        <v>63</v>
      </c>
      <c r="H258" s="18">
        <v>1.5</v>
      </c>
      <c r="I258" s="26"/>
      <c r="J258" s="20" t="s">
        <v>64</v>
      </c>
      <c r="K258" s="20" t="s">
        <v>60</v>
      </c>
      <c r="L258" s="20" t="s">
        <v>60</v>
      </c>
    </row>
    <row r="259" ht="42" customHeight="1" spans="1:12">
      <c r="A259" s="17">
        <v>46492</v>
      </c>
      <c r="B259" s="8">
        <v>37</v>
      </c>
      <c r="C259" s="6" t="s">
        <v>32</v>
      </c>
      <c r="D259" s="6" t="s">
        <v>65</v>
      </c>
      <c r="E259" s="6" t="s">
        <v>356</v>
      </c>
      <c r="F259" s="6" t="s">
        <v>360</v>
      </c>
      <c r="G259" s="6" t="s">
        <v>67</v>
      </c>
      <c r="H259" s="18">
        <v>1.5</v>
      </c>
      <c r="I259" s="26"/>
      <c r="J259" s="20" t="s">
        <v>64</v>
      </c>
      <c r="K259" s="20" t="s">
        <v>60</v>
      </c>
      <c r="L259" s="20" t="s">
        <v>60</v>
      </c>
    </row>
    <row r="260" ht="42" customHeight="1" spans="1:12">
      <c r="A260" s="17">
        <v>46493</v>
      </c>
      <c r="B260" s="8">
        <v>37</v>
      </c>
      <c r="C260" s="6" t="s">
        <v>32</v>
      </c>
      <c r="D260" s="6" t="s">
        <v>68</v>
      </c>
      <c r="E260" s="6" t="s">
        <v>356</v>
      </c>
      <c r="F260" s="6" t="s">
        <v>361</v>
      </c>
      <c r="G260" s="6" t="s">
        <v>70</v>
      </c>
      <c r="H260" s="18">
        <v>1.5</v>
      </c>
      <c r="I260" s="26"/>
      <c r="J260" s="20" t="s">
        <v>64</v>
      </c>
      <c r="K260" s="20" t="s">
        <v>60</v>
      </c>
      <c r="L260" s="20" t="s">
        <v>60</v>
      </c>
    </row>
    <row r="261" ht="42" customHeight="1" spans="1:12">
      <c r="A261" s="17">
        <v>46494</v>
      </c>
      <c r="B261" s="8">
        <v>37</v>
      </c>
      <c r="C261" s="6" t="s">
        <v>32</v>
      </c>
      <c r="D261" s="6" t="s">
        <v>71</v>
      </c>
      <c r="E261" s="6" t="s">
        <v>356</v>
      </c>
      <c r="F261" s="6" t="s">
        <v>362</v>
      </c>
      <c r="G261" s="6"/>
      <c r="H261" s="18">
        <v>4</v>
      </c>
      <c r="I261" s="26"/>
      <c r="J261" s="20" t="s">
        <v>64</v>
      </c>
      <c r="K261" s="20" t="s">
        <v>60</v>
      </c>
      <c r="L261" s="20" t="s">
        <v>60</v>
      </c>
    </row>
    <row r="262" ht="42" customHeight="1" spans="1:12">
      <c r="A262" s="17">
        <v>46495</v>
      </c>
      <c r="B262" s="8">
        <v>37</v>
      </c>
      <c r="C262" s="6" t="s">
        <v>32</v>
      </c>
      <c r="D262" s="6" t="s">
        <v>73</v>
      </c>
      <c r="E262" s="6" t="s">
        <v>356</v>
      </c>
      <c r="F262" s="6" t="s">
        <v>363</v>
      </c>
      <c r="G262" s="6" t="s">
        <v>75</v>
      </c>
      <c r="H262" s="18">
        <v>1</v>
      </c>
      <c r="I262" s="26"/>
      <c r="J262" s="20" t="s">
        <v>64</v>
      </c>
      <c r="K262" s="20" t="s">
        <v>60</v>
      </c>
      <c r="L262" s="20" t="s">
        <v>60</v>
      </c>
    </row>
    <row r="263" ht="42" customHeight="1" spans="1:12">
      <c r="A263" s="17">
        <v>46496</v>
      </c>
      <c r="B263" s="8">
        <v>38</v>
      </c>
      <c r="C263" s="6" t="s">
        <v>32</v>
      </c>
      <c r="D263" s="6" t="s">
        <v>50</v>
      </c>
      <c r="E263" s="6" t="s">
        <v>364</v>
      </c>
      <c r="F263" s="6" t="s">
        <v>365</v>
      </c>
      <c r="G263" s="6" t="s">
        <v>53</v>
      </c>
      <c r="H263" s="18">
        <v>1.5</v>
      </c>
      <c r="I263" s="26"/>
      <c r="J263" s="20" t="s">
        <v>64</v>
      </c>
      <c r="K263" s="20" t="s">
        <v>60</v>
      </c>
      <c r="L263" s="20" t="s">
        <v>60</v>
      </c>
    </row>
    <row r="264" ht="42" customHeight="1" spans="1:12">
      <c r="A264" s="17">
        <v>46497</v>
      </c>
      <c r="B264" s="8">
        <v>38</v>
      </c>
      <c r="C264" s="6" t="s">
        <v>32</v>
      </c>
      <c r="D264" s="6" t="s">
        <v>56</v>
      </c>
      <c r="E264" s="6" t="s">
        <v>364</v>
      </c>
      <c r="F264" s="6" t="s">
        <v>366</v>
      </c>
      <c r="G264" s="6" t="s">
        <v>58</v>
      </c>
      <c r="H264" s="18">
        <v>1.5</v>
      </c>
      <c r="I264" s="26"/>
      <c r="J264" s="20" t="s">
        <v>64</v>
      </c>
      <c r="K264" s="20" t="s">
        <v>60</v>
      </c>
      <c r="L264" s="20" t="s">
        <v>60</v>
      </c>
    </row>
    <row r="265" ht="42" customHeight="1" spans="1:12">
      <c r="A265" s="17">
        <v>46498</v>
      </c>
      <c r="B265" s="8">
        <v>38</v>
      </c>
      <c r="C265" s="6" t="s">
        <v>32</v>
      </c>
      <c r="D265" s="6" t="s">
        <v>61</v>
      </c>
      <c r="E265" s="6" t="s">
        <v>364</v>
      </c>
      <c r="F265" s="6" t="s">
        <v>367</v>
      </c>
      <c r="G265" s="6" t="s">
        <v>63</v>
      </c>
      <c r="H265" s="18">
        <v>1.5</v>
      </c>
      <c r="I265" s="26"/>
      <c r="J265" s="20" t="s">
        <v>64</v>
      </c>
      <c r="K265" s="20" t="s">
        <v>60</v>
      </c>
      <c r="L265" s="20" t="s">
        <v>60</v>
      </c>
    </row>
    <row r="266" ht="42" customHeight="1" spans="1:12">
      <c r="A266" s="17">
        <v>46499</v>
      </c>
      <c r="B266" s="8">
        <v>38</v>
      </c>
      <c r="C266" s="6" t="s">
        <v>32</v>
      </c>
      <c r="D266" s="6" t="s">
        <v>65</v>
      </c>
      <c r="E266" s="6" t="s">
        <v>364</v>
      </c>
      <c r="F266" s="6" t="s">
        <v>368</v>
      </c>
      <c r="G266" s="6" t="s">
        <v>67</v>
      </c>
      <c r="H266" s="18">
        <v>1.5</v>
      </c>
      <c r="I266" s="26"/>
      <c r="J266" s="20" t="s">
        <v>64</v>
      </c>
      <c r="K266" s="20" t="s">
        <v>60</v>
      </c>
      <c r="L266" s="20" t="s">
        <v>60</v>
      </c>
    </row>
    <row r="267" ht="42" customHeight="1" spans="1:12">
      <c r="A267" s="17">
        <v>46500</v>
      </c>
      <c r="B267" s="8">
        <v>38</v>
      </c>
      <c r="C267" s="6" t="s">
        <v>32</v>
      </c>
      <c r="D267" s="6" t="s">
        <v>68</v>
      </c>
      <c r="E267" s="6" t="s">
        <v>364</v>
      </c>
      <c r="F267" s="6" t="s">
        <v>369</v>
      </c>
      <c r="G267" s="6" t="s">
        <v>70</v>
      </c>
      <c r="H267" s="18">
        <v>1.5</v>
      </c>
      <c r="I267" s="26"/>
      <c r="J267" s="20" t="s">
        <v>64</v>
      </c>
      <c r="K267" s="20" t="s">
        <v>60</v>
      </c>
      <c r="L267" s="20" t="s">
        <v>60</v>
      </c>
    </row>
    <row r="268" ht="42" customHeight="1" spans="1:12">
      <c r="A268" s="17">
        <v>46501</v>
      </c>
      <c r="B268" s="8">
        <v>38</v>
      </c>
      <c r="C268" s="6" t="s">
        <v>32</v>
      </c>
      <c r="D268" s="6" t="s">
        <v>71</v>
      </c>
      <c r="E268" s="6" t="s">
        <v>364</v>
      </c>
      <c r="F268" s="6" t="s">
        <v>370</v>
      </c>
      <c r="G268" s="6"/>
      <c r="H268" s="18">
        <v>4</v>
      </c>
      <c r="I268" s="26"/>
      <c r="J268" s="20" t="s">
        <v>64</v>
      </c>
      <c r="K268" s="20" t="s">
        <v>60</v>
      </c>
      <c r="L268" s="20" t="s">
        <v>60</v>
      </c>
    </row>
    <row r="269" ht="42" customHeight="1" spans="1:12">
      <c r="A269" s="17">
        <v>46502</v>
      </c>
      <c r="B269" s="8">
        <v>38</v>
      </c>
      <c r="C269" s="6" t="s">
        <v>32</v>
      </c>
      <c r="D269" s="6" t="s">
        <v>73</v>
      </c>
      <c r="E269" s="6" t="s">
        <v>364</v>
      </c>
      <c r="F269" s="6" t="s">
        <v>371</v>
      </c>
      <c r="G269" s="6" t="s">
        <v>75</v>
      </c>
      <c r="H269" s="18">
        <v>1</v>
      </c>
      <c r="I269" s="26"/>
      <c r="J269" s="20" t="s">
        <v>64</v>
      </c>
      <c r="K269" s="20" t="s">
        <v>60</v>
      </c>
      <c r="L269" s="20" t="s">
        <v>60</v>
      </c>
    </row>
    <row r="270" ht="42" customHeight="1" spans="1:12">
      <c r="A270" s="17">
        <v>46503</v>
      </c>
      <c r="B270" s="8">
        <v>39</v>
      </c>
      <c r="C270" s="6" t="s">
        <v>32</v>
      </c>
      <c r="D270" s="6" t="s">
        <v>50</v>
      </c>
      <c r="E270" s="6" t="s">
        <v>372</v>
      </c>
      <c r="F270" s="6" t="s">
        <v>373</v>
      </c>
      <c r="G270" s="6" t="s">
        <v>53</v>
      </c>
      <c r="H270" s="18">
        <v>1.5</v>
      </c>
      <c r="I270" s="26"/>
      <c r="J270" s="20" t="s">
        <v>64</v>
      </c>
      <c r="K270" s="20" t="s">
        <v>60</v>
      </c>
      <c r="L270" s="20" t="s">
        <v>60</v>
      </c>
    </row>
    <row r="271" ht="42" customHeight="1" spans="1:12">
      <c r="A271" s="17">
        <v>46504</v>
      </c>
      <c r="B271" s="8">
        <v>39</v>
      </c>
      <c r="C271" s="6" t="s">
        <v>32</v>
      </c>
      <c r="D271" s="6" t="s">
        <v>56</v>
      </c>
      <c r="E271" s="6" t="s">
        <v>372</v>
      </c>
      <c r="F271" s="6" t="s">
        <v>374</v>
      </c>
      <c r="G271" s="6" t="s">
        <v>58</v>
      </c>
      <c r="H271" s="18">
        <v>1.5</v>
      </c>
      <c r="I271" s="26"/>
      <c r="J271" s="20" t="s">
        <v>64</v>
      </c>
      <c r="K271" s="20" t="s">
        <v>60</v>
      </c>
      <c r="L271" s="20" t="s">
        <v>60</v>
      </c>
    </row>
    <row r="272" ht="42" customHeight="1" spans="1:12">
      <c r="A272" s="17">
        <v>46505</v>
      </c>
      <c r="B272" s="8">
        <v>39</v>
      </c>
      <c r="C272" s="6" t="s">
        <v>32</v>
      </c>
      <c r="D272" s="6" t="s">
        <v>61</v>
      </c>
      <c r="E272" s="6" t="s">
        <v>372</v>
      </c>
      <c r="F272" s="6" t="s">
        <v>375</v>
      </c>
      <c r="G272" s="6" t="s">
        <v>63</v>
      </c>
      <c r="H272" s="18">
        <v>1.5</v>
      </c>
      <c r="I272" s="26"/>
      <c r="J272" s="20" t="s">
        <v>64</v>
      </c>
      <c r="K272" s="20" t="s">
        <v>60</v>
      </c>
      <c r="L272" s="20" t="s">
        <v>60</v>
      </c>
    </row>
    <row r="273" ht="42" customHeight="1" spans="1:12">
      <c r="A273" s="17">
        <v>46506</v>
      </c>
      <c r="B273" s="8">
        <v>39</v>
      </c>
      <c r="C273" s="6" t="s">
        <v>32</v>
      </c>
      <c r="D273" s="6" t="s">
        <v>65</v>
      </c>
      <c r="E273" s="6" t="s">
        <v>372</v>
      </c>
      <c r="F273" s="6" t="s">
        <v>376</v>
      </c>
      <c r="G273" s="6" t="s">
        <v>67</v>
      </c>
      <c r="H273" s="18">
        <v>1.5</v>
      </c>
      <c r="I273" s="26"/>
      <c r="J273" s="20" t="s">
        <v>64</v>
      </c>
      <c r="K273" s="20" t="s">
        <v>60</v>
      </c>
      <c r="L273" s="20" t="s">
        <v>60</v>
      </c>
    </row>
    <row r="274" ht="42" customHeight="1" spans="1:12">
      <c r="A274" s="17">
        <v>46507</v>
      </c>
      <c r="B274" s="8">
        <v>39</v>
      </c>
      <c r="C274" s="6" t="s">
        <v>32</v>
      </c>
      <c r="D274" s="6" t="s">
        <v>68</v>
      </c>
      <c r="E274" s="6" t="s">
        <v>372</v>
      </c>
      <c r="F274" s="6" t="s">
        <v>377</v>
      </c>
      <c r="G274" s="6" t="s">
        <v>70</v>
      </c>
      <c r="H274" s="18">
        <v>1.5</v>
      </c>
      <c r="I274" s="26"/>
      <c r="J274" s="20" t="s">
        <v>64</v>
      </c>
      <c r="K274" s="20" t="s">
        <v>60</v>
      </c>
      <c r="L274" s="20" t="s">
        <v>60</v>
      </c>
    </row>
    <row r="275" ht="42" customHeight="1" spans="1:12">
      <c r="A275" s="17">
        <v>46508</v>
      </c>
      <c r="B275" s="8">
        <v>39</v>
      </c>
      <c r="C275" s="6" t="s">
        <v>32</v>
      </c>
      <c r="D275" s="6" t="s">
        <v>71</v>
      </c>
      <c r="E275" s="6" t="s">
        <v>372</v>
      </c>
      <c r="F275" s="6" t="s">
        <v>378</v>
      </c>
      <c r="G275" s="6"/>
      <c r="H275" s="18">
        <v>4</v>
      </c>
      <c r="I275" s="26"/>
      <c r="J275" s="20" t="s">
        <v>64</v>
      </c>
      <c r="K275" s="20" t="s">
        <v>60</v>
      </c>
      <c r="L275" s="20" t="s">
        <v>60</v>
      </c>
    </row>
    <row r="276" ht="42" customHeight="1" spans="1:12">
      <c r="A276" s="17">
        <v>46509</v>
      </c>
      <c r="B276" s="8">
        <v>39</v>
      </c>
      <c r="C276" s="6" t="s">
        <v>32</v>
      </c>
      <c r="D276" s="6" t="s">
        <v>73</v>
      </c>
      <c r="E276" s="6" t="s">
        <v>372</v>
      </c>
      <c r="F276" s="6" t="s">
        <v>379</v>
      </c>
      <c r="G276" s="6" t="s">
        <v>75</v>
      </c>
      <c r="H276" s="18">
        <v>1</v>
      </c>
      <c r="I276" s="26"/>
      <c r="J276" s="20" t="s">
        <v>64</v>
      </c>
      <c r="K276" s="20" t="s">
        <v>60</v>
      </c>
      <c r="L276" s="20" t="s">
        <v>60</v>
      </c>
    </row>
    <row r="277" ht="42" customHeight="1" spans="1:12">
      <c r="A277" s="17">
        <v>46510</v>
      </c>
      <c r="B277" s="8">
        <v>40</v>
      </c>
      <c r="C277" s="6" t="s">
        <v>33</v>
      </c>
      <c r="D277" s="6" t="s">
        <v>50</v>
      </c>
      <c r="E277" s="6" t="s">
        <v>380</v>
      </c>
      <c r="F277" s="6" t="s">
        <v>381</v>
      </c>
      <c r="G277" s="6" t="s">
        <v>53</v>
      </c>
      <c r="H277" s="18">
        <v>1.5</v>
      </c>
      <c r="I277" s="26"/>
      <c r="J277" s="20" t="s">
        <v>64</v>
      </c>
      <c r="K277" s="20" t="s">
        <v>60</v>
      </c>
      <c r="L277" s="20" t="s">
        <v>60</v>
      </c>
    </row>
    <row r="278" ht="42" customHeight="1" spans="1:12">
      <c r="A278" s="17">
        <v>46511</v>
      </c>
      <c r="B278" s="8">
        <v>40</v>
      </c>
      <c r="C278" s="6" t="s">
        <v>33</v>
      </c>
      <c r="D278" s="6" t="s">
        <v>56</v>
      </c>
      <c r="E278" s="6" t="s">
        <v>380</v>
      </c>
      <c r="F278" s="6" t="s">
        <v>382</v>
      </c>
      <c r="G278" s="6" t="s">
        <v>58</v>
      </c>
      <c r="H278" s="18">
        <v>1.5</v>
      </c>
      <c r="I278" s="26"/>
      <c r="J278" s="20" t="s">
        <v>64</v>
      </c>
      <c r="K278" s="20" t="s">
        <v>60</v>
      </c>
      <c r="L278" s="20" t="s">
        <v>60</v>
      </c>
    </row>
    <row r="279" ht="42" customHeight="1" spans="1:12">
      <c r="A279" s="17">
        <v>46512</v>
      </c>
      <c r="B279" s="8">
        <v>40</v>
      </c>
      <c r="C279" s="6" t="s">
        <v>33</v>
      </c>
      <c r="D279" s="6" t="s">
        <v>61</v>
      </c>
      <c r="E279" s="6" t="s">
        <v>380</v>
      </c>
      <c r="F279" s="6" t="s">
        <v>383</v>
      </c>
      <c r="G279" s="6" t="s">
        <v>63</v>
      </c>
      <c r="H279" s="18">
        <v>1.5</v>
      </c>
      <c r="I279" s="26"/>
      <c r="J279" s="20" t="s">
        <v>64</v>
      </c>
      <c r="K279" s="20" t="s">
        <v>60</v>
      </c>
      <c r="L279" s="20" t="s">
        <v>60</v>
      </c>
    </row>
    <row r="280" ht="42" customHeight="1" spans="1:12">
      <c r="A280" s="17">
        <v>46513</v>
      </c>
      <c r="B280" s="8">
        <v>40</v>
      </c>
      <c r="C280" s="6" t="s">
        <v>33</v>
      </c>
      <c r="D280" s="6" t="s">
        <v>65</v>
      </c>
      <c r="E280" s="6" t="s">
        <v>380</v>
      </c>
      <c r="F280" s="6" t="s">
        <v>384</v>
      </c>
      <c r="G280" s="6" t="s">
        <v>67</v>
      </c>
      <c r="H280" s="18">
        <v>1.5</v>
      </c>
      <c r="I280" s="26"/>
      <c r="J280" s="20" t="s">
        <v>64</v>
      </c>
      <c r="K280" s="20" t="s">
        <v>60</v>
      </c>
      <c r="L280" s="20" t="s">
        <v>60</v>
      </c>
    </row>
    <row r="281" ht="42" customHeight="1" spans="1:12">
      <c r="A281" s="17">
        <v>46514</v>
      </c>
      <c r="B281" s="8">
        <v>40</v>
      </c>
      <c r="C281" s="6" t="s">
        <v>33</v>
      </c>
      <c r="D281" s="6" t="s">
        <v>68</v>
      </c>
      <c r="E281" s="6" t="s">
        <v>380</v>
      </c>
      <c r="F281" s="6" t="s">
        <v>385</v>
      </c>
      <c r="G281" s="6" t="s">
        <v>70</v>
      </c>
      <c r="H281" s="18">
        <v>1.5</v>
      </c>
      <c r="I281" s="26"/>
      <c r="J281" s="20" t="s">
        <v>64</v>
      </c>
      <c r="K281" s="20" t="s">
        <v>60</v>
      </c>
      <c r="L281" s="20" t="s">
        <v>60</v>
      </c>
    </row>
    <row r="282" ht="42" customHeight="1" spans="1:12">
      <c r="A282" s="17">
        <v>46515</v>
      </c>
      <c r="B282" s="8">
        <v>40</v>
      </c>
      <c r="C282" s="6" t="s">
        <v>33</v>
      </c>
      <c r="D282" s="6" t="s">
        <v>71</v>
      </c>
      <c r="E282" s="6" t="s">
        <v>380</v>
      </c>
      <c r="F282" s="6" t="s">
        <v>386</v>
      </c>
      <c r="G282" s="6"/>
      <c r="H282" s="18">
        <v>4</v>
      </c>
      <c r="I282" s="26"/>
      <c r="J282" s="20" t="s">
        <v>64</v>
      </c>
      <c r="K282" s="20" t="s">
        <v>60</v>
      </c>
      <c r="L282" s="20" t="s">
        <v>60</v>
      </c>
    </row>
    <row r="283" ht="42" customHeight="1" spans="1:12">
      <c r="A283" s="17">
        <v>46516</v>
      </c>
      <c r="B283" s="8">
        <v>40</v>
      </c>
      <c r="C283" s="6" t="s">
        <v>33</v>
      </c>
      <c r="D283" s="6" t="s">
        <v>73</v>
      </c>
      <c r="E283" s="6" t="s">
        <v>380</v>
      </c>
      <c r="F283" s="6" t="s">
        <v>387</v>
      </c>
      <c r="G283" s="6" t="s">
        <v>75</v>
      </c>
      <c r="H283" s="18">
        <v>1</v>
      </c>
      <c r="I283" s="26"/>
      <c r="J283" s="20" t="s">
        <v>64</v>
      </c>
      <c r="K283" s="20" t="s">
        <v>60</v>
      </c>
      <c r="L283" s="20" t="s">
        <v>60</v>
      </c>
    </row>
    <row r="284" ht="42" customHeight="1" spans="1:12">
      <c r="A284" s="17">
        <v>46517</v>
      </c>
      <c r="B284" s="8">
        <v>41</v>
      </c>
      <c r="C284" s="6" t="s">
        <v>33</v>
      </c>
      <c r="D284" s="6" t="s">
        <v>50</v>
      </c>
      <c r="E284" s="6" t="s">
        <v>388</v>
      </c>
      <c r="F284" s="6" t="s">
        <v>389</v>
      </c>
      <c r="G284" s="6" t="s">
        <v>53</v>
      </c>
      <c r="H284" s="18">
        <v>1.5</v>
      </c>
      <c r="I284" s="26"/>
      <c r="J284" s="20" t="s">
        <v>64</v>
      </c>
      <c r="K284" s="20" t="s">
        <v>60</v>
      </c>
      <c r="L284" s="20" t="s">
        <v>60</v>
      </c>
    </row>
    <row r="285" ht="42" customHeight="1" spans="1:12">
      <c r="A285" s="17">
        <v>46518</v>
      </c>
      <c r="B285" s="8">
        <v>41</v>
      </c>
      <c r="C285" s="6" t="s">
        <v>33</v>
      </c>
      <c r="D285" s="6" t="s">
        <v>56</v>
      </c>
      <c r="E285" s="6" t="s">
        <v>388</v>
      </c>
      <c r="F285" s="6" t="s">
        <v>390</v>
      </c>
      <c r="G285" s="6" t="s">
        <v>58</v>
      </c>
      <c r="H285" s="18">
        <v>1.5</v>
      </c>
      <c r="I285" s="26"/>
      <c r="J285" s="20" t="s">
        <v>64</v>
      </c>
      <c r="K285" s="20" t="s">
        <v>60</v>
      </c>
      <c r="L285" s="20" t="s">
        <v>60</v>
      </c>
    </row>
    <row r="286" ht="42" customHeight="1" spans="1:12">
      <c r="A286" s="17">
        <v>46519</v>
      </c>
      <c r="B286" s="8">
        <v>41</v>
      </c>
      <c r="C286" s="6" t="s">
        <v>33</v>
      </c>
      <c r="D286" s="6" t="s">
        <v>61</v>
      </c>
      <c r="E286" s="6" t="s">
        <v>388</v>
      </c>
      <c r="F286" s="6" t="s">
        <v>391</v>
      </c>
      <c r="G286" s="6" t="s">
        <v>63</v>
      </c>
      <c r="H286" s="18">
        <v>1.5</v>
      </c>
      <c r="I286" s="26"/>
      <c r="J286" s="20" t="s">
        <v>64</v>
      </c>
      <c r="K286" s="20" t="s">
        <v>60</v>
      </c>
      <c r="L286" s="20" t="s">
        <v>60</v>
      </c>
    </row>
    <row r="287" ht="42" customHeight="1" spans="1:12">
      <c r="A287" s="17">
        <v>46520</v>
      </c>
      <c r="B287" s="8">
        <v>41</v>
      </c>
      <c r="C287" s="6" t="s">
        <v>33</v>
      </c>
      <c r="D287" s="6" t="s">
        <v>65</v>
      </c>
      <c r="E287" s="6" t="s">
        <v>388</v>
      </c>
      <c r="F287" s="6" t="s">
        <v>392</v>
      </c>
      <c r="G287" s="6" t="s">
        <v>67</v>
      </c>
      <c r="H287" s="18">
        <v>1.5</v>
      </c>
      <c r="I287" s="26"/>
      <c r="J287" s="20" t="s">
        <v>64</v>
      </c>
      <c r="K287" s="20" t="s">
        <v>60</v>
      </c>
      <c r="L287" s="20" t="s">
        <v>60</v>
      </c>
    </row>
    <row r="288" ht="42" customHeight="1" spans="1:12">
      <c r="A288" s="17">
        <v>46521</v>
      </c>
      <c r="B288" s="8">
        <v>41</v>
      </c>
      <c r="C288" s="6" t="s">
        <v>33</v>
      </c>
      <c r="D288" s="6" t="s">
        <v>68</v>
      </c>
      <c r="E288" s="6" t="s">
        <v>388</v>
      </c>
      <c r="F288" s="6" t="s">
        <v>393</v>
      </c>
      <c r="G288" s="6" t="s">
        <v>70</v>
      </c>
      <c r="H288" s="18">
        <v>1.5</v>
      </c>
      <c r="I288" s="26"/>
      <c r="J288" s="20" t="s">
        <v>64</v>
      </c>
      <c r="K288" s="20" t="s">
        <v>60</v>
      </c>
      <c r="L288" s="20" t="s">
        <v>60</v>
      </c>
    </row>
    <row r="289" ht="42" customHeight="1" spans="1:12">
      <c r="A289" s="17">
        <v>46522</v>
      </c>
      <c r="B289" s="8">
        <v>41</v>
      </c>
      <c r="C289" s="6" t="s">
        <v>33</v>
      </c>
      <c r="D289" s="6" t="s">
        <v>71</v>
      </c>
      <c r="E289" s="6" t="s">
        <v>388</v>
      </c>
      <c r="F289" s="6" t="s">
        <v>394</v>
      </c>
      <c r="G289" s="6"/>
      <c r="H289" s="18">
        <v>4</v>
      </c>
      <c r="I289" s="26"/>
      <c r="J289" s="20" t="s">
        <v>64</v>
      </c>
      <c r="K289" s="20" t="s">
        <v>60</v>
      </c>
      <c r="L289" s="20" t="s">
        <v>60</v>
      </c>
    </row>
    <row r="290" ht="42" customHeight="1" spans="1:12">
      <c r="A290" s="17">
        <v>46523</v>
      </c>
      <c r="B290" s="8">
        <v>41</v>
      </c>
      <c r="C290" s="6" t="s">
        <v>33</v>
      </c>
      <c r="D290" s="6" t="s">
        <v>73</v>
      </c>
      <c r="E290" s="6" t="s">
        <v>388</v>
      </c>
      <c r="F290" s="6" t="s">
        <v>395</v>
      </c>
      <c r="G290" s="6" t="s">
        <v>75</v>
      </c>
      <c r="H290" s="18">
        <v>1</v>
      </c>
      <c r="I290" s="26"/>
      <c r="J290" s="20" t="s">
        <v>64</v>
      </c>
      <c r="K290" s="20" t="s">
        <v>60</v>
      </c>
      <c r="L290" s="20" t="s">
        <v>60</v>
      </c>
    </row>
    <row r="291" ht="42" customHeight="1" spans="1:12">
      <c r="A291" s="17">
        <v>46524</v>
      </c>
      <c r="B291" s="8">
        <v>42</v>
      </c>
      <c r="C291" s="6" t="s">
        <v>33</v>
      </c>
      <c r="D291" s="6" t="s">
        <v>50</v>
      </c>
      <c r="E291" s="6" t="s">
        <v>396</v>
      </c>
      <c r="F291" s="6" t="s">
        <v>397</v>
      </c>
      <c r="G291" s="6" t="s">
        <v>53</v>
      </c>
      <c r="H291" s="18">
        <v>1.5</v>
      </c>
      <c r="I291" s="26"/>
      <c r="J291" s="20" t="s">
        <v>64</v>
      </c>
      <c r="K291" s="20" t="s">
        <v>60</v>
      </c>
      <c r="L291" s="20" t="s">
        <v>60</v>
      </c>
    </row>
    <row r="292" ht="42" customHeight="1" spans="1:12">
      <c r="A292" s="17">
        <v>46525</v>
      </c>
      <c r="B292" s="8">
        <v>42</v>
      </c>
      <c r="C292" s="6" t="s">
        <v>33</v>
      </c>
      <c r="D292" s="6" t="s">
        <v>56</v>
      </c>
      <c r="E292" s="6" t="s">
        <v>396</v>
      </c>
      <c r="F292" s="6" t="s">
        <v>398</v>
      </c>
      <c r="G292" s="6" t="s">
        <v>58</v>
      </c>
      <c r="H292" s="18">
        <v>1.5</v>
      </c>
      <c r="I292" s="26"/>
      <c r="J292" s="20" t="s">
        <v>64</v>
      </c>
      <c r="K292" s="20" t="s">
        <v>60</v>
      </c>
      <c r="L292" s="20" t="s">
        <v>60</v>
      </c>
    </row>
    <row r="293" ht="42" customHeight="1" spans="1:12">
      <c r="A293" s="17">
        <v>46526</v>
      </c>
      <c r="B293" s="8">
        <v>42</v>
      </c>
      <c r="C293" s="6" t="s">
        <v>33</v>
      </c>
      <c r="D293" s="6" t="s">
        <v>61</v>
      </c>
      <c r="E293" s="6" t="s">
        <v>396</v>
      </c>
      <c r="F293" s="6" t="s">
        <v>399</v>
      </c>
      <c r="G293" s="6" t="s">
        <v>63</v>
      </c>
      <c r="H293" s="18">
        <v>1.5</v>
      </c>
      <c r="I293" s="26"/>
      <c r="J293" s="20" t="s">
        <v>64</v>
      </c>
      <c r="K293" s="20" t="s">
        <v>60</v>
      </c>
      <c r="L293" s="20" t="s">
        <v>60</v>
      </c>
    </row>
    <row r="294" ht="42" customHeight="1" spans="1:12">
      <c r="A294" s="17">
        <v>46527</v>
      </c>
      <c r="B294" s="8">
        <v>42</v>
      </c>
      <c r="C294" s="6" t="s">
        <v>33</v>
      </c>
      <c r="D294" s="6" t="s">
        <v>65</v>
      </c>
      <c r="E294" s="6" t="s">
        <v>396</v>
      </c>
      <c r="F294" s="6" t="s">
        <v>400</v>
      </c>
      <c r="G294" s="6" t="s">
        <v>67</v>
      </c>
      <c r="H294" s="18">
        <v>1.5</v>
      </c>
      <c r="I294" s="26"/>
      <c r="J294" s="20" t="s">
        <v>64</v>
      </c>
      <c r="K294" s="20" t="s">
        <v>60</v>
      </c>
      <c r="L294" s="20" t="s">
        <v>60</v>
      </c>
    </row>
    <row r="295" ht="42" customHeight="1" spans="1:12">
      <c r="A295" s="17">
        <v>46528</v>
      </c>
      <c r="B295" s="8">
        <v>42</v>
      </c>
      <c r="C295" s="6" t="s">
        <v>33</v>
      </c>
      <c r="D295" s="6" t="s">
        <v>68</v>
      </c>
      <c r="E295" s="6" t="s">
        <v>396</v>
      </c>
      <c r="F295" s="6" t="s">
        <v>401</v>
      </c>
      <c r="G295" s="6" t="s">
        <v>70</v>
      </c>
      <c r="H295" s="18">
        <v>1.5</v>
      </c>
      <c r="I295" s="26"/>
      <c r="J295" s="20" t="s">
        <v>64</v>
      </c>
      <c r="K295" s="20" t="s">
        <v>60</v>
      </c>
      <c r="L295" s="20" t="s">
        <v>60</v>
      </c>
    </row>
    <row r="296" ht="42" customHeight="1" spans="1:12">
      <c r="A296" s="17">
        <v>46529</v>
      </c>
      <c r="B296" s="8">
        <v>42</v>
      </c>
      <c r="C296" s="6" t="s">
        <v>33</v>
      </c>
      <c r="D296" s="6" t="s">
        <v>71</v>
      </c>
      <c r="E296" s="6" t="s">
        <v>396</v>
      </c>
      <c r="F296" s="6" t="s">
        <v>402</v>
      </c>
      <c r="G296" s="6"/>
      <c r="H296" s="18">
        <v>4</v>
      </c>
      <c r="I296" s="26"/>
      <c r="J296" s="20" t="s">
        <v>64</v>
      </c>
      <c r="K296" s="20" t="s">
        <v>60</v>
      </c>
      <c r="L296" s="20" t="s">
        <v>60</v>
      </c>
    </row>
    <row r="297" ht="42" customHeight="1" spans="1:12">
      <c r="A297" s="17">
        <v>46530</v>
      </c>
      <c r="B297" s="8">
        <v>42</v>
      </c>
      <c r="C297" s="6" t="s">
        <v>33</v>
      </c>
      <c r="D297" s="6" t="s">
        <v>73</v>
      </c>
      <c r="E297" s="6" t="s">
        <v>396</v>
      </c>
      <c r="F297" s="6" t="s">
        <v>403</v>
      </c>
      <c r="G297" s="6" t="s">
        <v>75</v>
      </c>
      <c r="H297" s="18">
        <v>1</v>
      </c>
      <c r="I297" s="26"/>
      <c r="J297" s="20" t="s">
        <v>64</v>
      </c>
      <c r="K297" s="20" t="s">
        <v>60</v>
      </c>
      <c r="L297" s="20" t="s">
        <v>60</v>
      </c>
    </row>
    <row r="298" ht="42" customHeight="1" spans="1:12">
      <c r="A298" s="17">
        <v>46531</v>
      </c>
      <c r="B298" s="8">
        <v>43</v>
      </c>
      <c r="C298" s="6" t="s">
        <v>33</v>
      </c>
      <c r="D298" s="6" t="s">
        <v>50</v>
      </c>
      <c r="E298" s="6" t="s">
        <v>404</v>
      </c>
      <c r="F298" s="6" t="s">
        <v>405</v>
      </c>
      <c r="G298" s="6" t="s">
        <v>53</v>
      </c>
      <c r="H298" s="18">
        <v>1.5</v>
      </c>
      <c r="I298" s="26"/>
      <c r="J298" s="20" t="s">
        <v>64</v>
      </c>
      <c r="K298" s="20" t="s">
        <v>60</v>
      </c>
      <c r="L298" s="20" t="s">
        <v>60</v>
      </c>
    </row>
    <row r="299" ht="42" customHeight="1" spans="1:12">
      <c r="A299" s="17">
        <v>46532</v>
      </c>
      <c r="B299" s="8">
        <v>43</v>
      </c>
      <c r="C299" s="6" t="s">
        <v>33</v>
      </c>
      <c r="D299" s="6" t="s">
        <v>56</v>
      </c>
      <c r="E299" s="6" t="s">
        <v>404</v>
      </c>
      <c r="F299" s="6" t="s">
        <v>406</v>
      </c>
      <c r="G299" s="6" t="s">
        <v>58</v>
      </c>
      <c r="H299" s="18">
        <v>1.5</v>
      </c>
      <c r="I299" s="26"/>
      <c r="J299" s="20" t="s">
        <v>64</v>
      </c>
      <c r="K299" s="20" t="s">
        <v>60</v>
      </c>
      <c r="L299" s="20" t="s">
        <v>60</v>
      </c>
    </row>
    <row r="300" ht="42" customHeight="1" spans="1:12">
      <c r="A300" s="17">
        <v>46533</v>
      </c>
      <c r="B300" s="8">
        <v>43</v>
      </c>
      <c r="C300" s="6" t="s">
        <v>33</v>
      </c>
      <c r="D300" s="6" t="s">
        <v>61</v>
      </c>
      <c r="E300" s="6" t="s">
        <v>404</v>
      </c>
      <c r="F300" s="6" t="s">
        <v>407</v>
      </c>
      <c r="G300" s="6" t="s">
        <v>63</v>
      </c>
      <c r="H300" s="18">
        <v>1.5</v>
      </c>
      <c r="I300" s="26"/>
      <c r="J300" s="20" t="s">
        <v>64</v>
      </c>
      <c r="K300" s="20" t="s">
        <v>60</v>
      </c>
      <c r="L300" s="20" t="s">
        <v>60</v>
      </c>
    </row>
    <row r="301" ht="42" customHeight="1" spans="1:12">
      <c r="A301" s="17">
        <v>46534</v>
      </c>
      <c r="B301" s="8">
        <v>43</v>
      </c>
      <c r="C301" s="6" t="s">
        <v>33</v>
      </c>
      <c r="D301" s="6" t="s">
        <v>65</v>
      </c>
      <c r="E301" s="6" t="s">
        <v>404</v>
      </c>
      <c r="F301" s="6" t="s">
        <v>408</v>
      </c>
      <c r="G301" s="6" t="s">
        <v>67</v>
      </c>
      <c r="H301" s="18">
        <v>1.5</v>
      </c>
      <c r="I301" s="26"/>
      <c r="J301" s="20" t="s">
        <v>64</v>
      </c>
      <c r="K301" s="20" t="s">
        <v>60</v>
      </c>
      <c r="L301" s="20" t="s">
        <v>60</v>
      </c>
    </row>
    <row r="302" ht="42" customHeight="1" spans="1:12">
      <c r="A302" s="17">
        <v>46535</v>
      </c>
      <c r="B302" s="8">
        <v>43</v>
      </c>
      <c r="C302" s="6" t="s">
        <v>33</v>
      </c>
      <c r="D302" s="6" t="s">
        <v>68</v>
      </c>
      <c r="E302" s="6" t="s">
        <v>404</v>
      </c>
      <c r="F302" s="6" t="s">
        <v>409</v>
      </c>
      <c r="G302" s="6" t="s">
        <v>70</v>
      </c>
      <c r="H302" s="18">
        <v>1.5</v>
      </c>
      <c r="I302" s="26"/>
      <c r="J302" s="20" t="s">
        <v>64</v>
      </c>
      <c r="K302" s="20" t="s">
        <v>60</v>
      </c>
      <c r="L302" s="20" t="s">
        <v>60</v>
      </c>
    </row>
    <row r="303" ht="42" customHeight="1" spans="1:12">
      <c r="A303" s="17">
        <v>46536</v>
      </c>
      <c r="B303" s="8">
        <v>43</v>
      </c>
      <c r="C303" s="6" t="s">
        <v>33</v>
      </c>
      <c r="D303" s="6" t="s">
        <v>71</v>
      </c>
      <c r="E303" s="6" t="s">
        <v>404</v>
      </c>
      <c r="F303" s="6" t="s">
        <v>410</v>
      </c>
      <c r="G303" s="6"/>
      <c r="H303" s="18">
        <v>4</v>
      </c>
      <c r="I303" s="26"/>
      <c r="J303" s="20" t="s">
        <v>64</v>
      </c>
      <c r="K303" s="20" t="s">
        <v>60</v>
      </c>
      <c r="L303" s="20" t="s">
        <v>60</v>
      </c>
    </row>
    <row r="304" ht="42" customHeight="1" spans="1:12">
      <c r="A304" s="17">
        <v>46537</v>
      </c>
      <c r="B304" s="8">
        <v>43</v>
      </c>
      <c r="C304" s="6" t="s">
        <v>33</v>
      </c>
      <c r="D304" s="6" t="s">
        <v>73</v>
      </c>
      <c r="E304" s="6" t="s">
        <v>404</v>
      </c>
      <c r="F304" s="6" t="s">
        <v>411</v>
      </c>
      <c r="G304" s="6" t="s">
        <v>75</v>
      </c>
      <c r="H304" s="18">
        <v>1</v>
      </c>
      <c r="I304" s="26"/>
      <c r="J304" s="20" t="s">
        <v>64</v>
      </c>
      <c r="K304" s="20" t="s">
        <v>60</v>
      </c>
      <c r="L304" s="20" t="s">
        <v>60</v>
      </c>
    </row>
    <row r="305" ht="42" customHeight="1" spans="1:12">
      <c r="A305" s="17">
        <v>46538</v>
      </c>
      <c r="B305" s="8">
        <v>44</v>
      </c>
      <c r="C305" s="6" t="s">
        <v>33</v>
      </c>
      <c r="D305" s="6" t="s">
        <v>50</v>
      </c>
      <c r="E305" s="6" t="s">
        <v>412</v>
      </c>
      <c r="F305" s="6" t="s">
        <v>413</v>
      </c>
      <c r="G305" s="6" t="s">
        <v>53</v>
      </c>
      <c r="H305" s="18">
        <v>1.5</v>
      </c>
      <c r="I305" s="26"/>
      <c r="J305" s="20" t="s">
        <v>64</v>
      </c>
      <c r="K305" s="20" t="s">
        <v>60</v>
      </c>
      <c r="L305" s="20" t="s">
        <v>60</v>
      </c>
    </row>
    <row r="306" ht="42" customHeight="1" spans="1:12">
      <c r="A306" s="17">
        <v>46539</v>
      </c>
      <c r="B306" s="8">
        <v>44</v>
      </c>
      <c r="C306" s="6" t="s">
        <v>33</v>
      </c>
      <c r="D306" s="6" t="s">
        <v>56</v>
      </c>
      <c r="E306" s="6" t="s">
        <v>412</v>
      </c>
      <c r="F306" s="6" t="s">
        <v>414</v>
      </c>
      <c r="G306" s="6" t="s">
        <v>58</v>
      </c>
      <c r="H306" s="18">
        <v>1.5</v>
      </c>
      <c r="I306" s="26"/>
      <c r="J306" s="20" t="s">
        <v>64</v>
      </c>
      <c r="K306" s="20" t="s">
        <v>60</v>
      </c>
      <c r="L306" s="20" t="s">
        <v>60</v>
      </c>
    </row>
    <row r="307" ht="42" customHeight="1" spans="1:12">
      <c r="A307" s="17">
        <v>46540</v>
      </c>
      <c r="B307" s="8">
        <v>44</v>
      </c>
      <c r="C307" s="6" t="s">
        <v>33</v>
      </c>
      <c r="D307" s="6" t="s">
        <v>61</v>
      </c>
      <c r="E307" s="6" t="s">
        <v>412</v>
      </c>
      <c r="F307" s="6" t="s">
        <v>415</v>
      </c>
      <c r="G307" s="6" t="s">
        <v>63</v>
      </c>
      <c r="H307" s="18">
        <v>1.5</v>
      </c>
      <c r="I307" s="26"/>
      <c r="J307" s="20" t="s">
        <v>64</v>
      </c>
      <c r="K307" s="20" t="s">
        <v>60</v>
      </c>
      <c r="L307" s="20" t="s">
        <v>60</v>
      </c>
    </row>
    <row r="308" ht="42" customHeight="1" spans="1:12">
      <c r="A308" s="17">
        <v>46541</v>
      </c>
      <c r="B308" s="8">
        <v>44</v>
      </c>
      <c r="C308" s="6" t="s">
        <v>33</v>
      </c>
      <c r="D308" s="6" t="s">
        <v>65</v>
      </c>
      <c r="E308" s="6" t="s">
        <v>412</v>
      </c>
      <c r="F308" s="6" t="s">
        <v>416</v>
      </c>
      <c r="G308" s="6" t="s">
        <v>67</v>
      </c>
      <c r="H308" s="18">
        <v>1.5</v>
      </c>
      <c r="I308" s="26"/>
      <c r="J308" s="20" t="s">
        <v>64</v>
      </c>
      <c r="K308" s="20" t="s">
        <v>60</v>
      </c>
      <c r="L308" s="20" t="s">
        <v>60</v>
      </c>
    </row>
    <row r="309" ht="42" customHeight="1" spans="1:12">
      <c r="A309" s="17">
        <v>46542</v>
      </c>
      <c r="B309" s="8">
        <v>44</v>
      </c>
      <c r="C309" s="6" t="s">
        <v>33</v>
      </c>
      <c r="D309" s="6" t="s">
        <v>68</v>
      </c>
      <c r="E309" s="6" t="s">
        <v>412</v>
      </c>
      <c r="F309" s="6" t="s">
        <v>417</v>
      </c>
      <c r="G309" s="6" t="s">
        <v>70</v>
      </c>
      <c r="H309" s="18">
        <v>1.5</v>
      </c>
      <c r="I309" s="26"/>
      <c r="J309" s="20" t="s">
        <v>64</v>
      </c>
      <c r="K309" s="20" t="s">
        <v>60</v>
      </c>
      <c r="L309" s="20" t="s">
        <v>60</v>
      </c>
    </row>
    <row r="310" ht="42" customHeight="1" spans="1:12">
      <c r="A310" s="17">
        <v>46543</v>
      </c>
      <c r="B310" s="8">
        <v>44</v>
      </c>
      <c r="C310" s="6" t="s">
        <v>33</v>
      </c>
      <c r="D310" s="6" t="s">
        <v>71</v>
      </c>
      <c r="E310" s="6" t="s">
        <v>412</v>
      </c>
      <c r="F310" s="6" t="s">
        <v>418</v>
      </c>
      <c r="G310" s="6"/>
      <c r="H310" s="18">
        <v>4</v>
      </c>
      <c r="I310" s="26"/>
      <c r="J310" s="20" t="s">
        <v>64</v>
      </c>
      <c r="K310" s="20" t="s">
        <v>60</v>
      </c>
      <c r="L310" s="20" t="s">
        <v>60</v>
      </c>
    </row>
    <row r="311" ht="42" customHeight="1" spans="1:12">
      <c r="A311" s="17">
        <v>46544</v>
      </c>
      <c r="B311" s="8">
        <v>44</v>
      </c>
      <c r="C311" s="6" t="s">
        <v>33</v>
      </c>
      <c r="D311" s="6" t="s">
        <v>73</v>
      </c>
      <c r="E311" s="6" t="s">
        <v>412</v>
      </c>
      <c r="F311" s="6" t="s">
        <v>419</v>
      </c>
      <c r="G311" s="6" t="s">
        <v>75</v>
      </c>
      <c r="H311" s="18">
        <v>1</v>
      </c>
      <c r="I311" s="26"/>
      <c r="J311" s="20" t="s">
        <v>64</v>
      </c>
      <c r="K311" s="20" t="s">
        <v>60</v>
      </c>
      <c r="L311" s="20" t="s">
        <v>60</v>
      </c>
    </row>
    <row r="312" ht="42" customHeight="1" spans="1:12">
      <c r="A312" s="17">
        <v>46545</v>
      </c>
      <c r="B312" s="8">
        <v>45</v>
      </c>
      <c r="C312" s="6" t="s">
        <v>33</v>
      </c>
      <c r="D312" s="6" t="s">
        <v>50</v>
      </c>
      <c r="E312" s="6" t="s">
        <v>420</v>
      </c>
      <c r="F312" s="6" t="s">
        <v>421</v>
      </c>
      <c r="G312" s="6" t="s">
        <v>53</v>
      </c>
      <c r="H312" s="18">
        <v>1.5</v>
      </c>
      <c r="I312" s="26"/>
      <c r="J312" s="20" t="s">
        <v>64</v>
      </c>
      <c r="K312" s="20" t="s">
        <v>60</v>
      </c>
      <c r="L312" s="20" t="s">
        <v>60</v>
      </c>
    </row>
    <row r="313" ht="42" customHeight="1" spans="1:12">
      <c r="A313" s="17">
        <v>46546</v>
      </c>
      <c r="B313" s="8">
        <v>45</v>
      </c>
      <c r="C313" s="6" t="s">
        <v>33</v>
      </c>
      <c r="D313" s="6" t="s">
        <v>56</v>
      </c>
      <c r="E313" s="6" t="s">
        <v>420</v>
      </c>
      <c r="F313" s="6" t="s">
        <v>422</v>
      </c>
      <c r="G313" s="6" t="s">
        <v>58</v>
      </c>
      <c r="H313" s="18">
        <v>1.5</v>
      </c>
      <c r="I313" s="26"/>
      <c r="J313" s="20" t="s">
        <v>64</v>
      </c>
      <c r="K313" s="20" t="s">
        <v>60</v>
      </c>
      <c r="L313" s="20" t="s">
        <v>60</v>
      </c>
    </row>
    <row r="314" ht="42" customHeight="1" spans="1:12">
      <c r="A314" s="17">
        <v>46547</v>
      </c>
      <c r="B314" s="8">
        <v>45</v>
      </c>
      <c r="C314" s="6" t="s">
        <v>33</v>
      </c>
      <c r="D314" s="6" t="s">
        <v>61</v>
      </c>
      <c r="E314" s="6" t="s">
        <v>420</v>
      </c>
      <c r="F314" s="6" t="s">
        <v>423</v>
      </c>
      <c r="G314" s="6" t="s">
        <v>63</v>
      </c>
      <c r="H314" s="18">
        <v>1.5</v>
      </c>
      <c r="I314" s="26"/>
      <c r="J314" s="20" t="s">
        <v>64</v>
      </c>
      <c r="K314" s="20" t="s">
        <v>60</v>
      </c>
      <c r="L314" s="20" t="s">
        <v>60</v>
      </c>
    </row>
    <row r="315" ht="42" customHeight="1" spans="1:12">
      <c r="A315" s="17">
        <v>46548</v>
      </c>
      <c r="B315" s="8">
        <v>45</v>
      </c>
      <c r="C315" s="6" t="s">
        <v>33</v>
      </c>
      <c r="D315" s="6" t="s">
        <v>65</v>
      </c>
      <c r="E315" s="6" t="s">
        <v>420</v>
      </c>
      <c r="F315" s="6" t="s">
        <v>424</v>
      </c>
      <c r="G315" s="6" t="s">
        <v>67</v>
      </c>
      <c r="H315" s="18">
        <v>1.5</v>
      </c>
      <c r="I315" s="26"/>
      <c r="J315" s="20" t="s">
        <v>64</v>
      </c>
      <c r="K315" s="20" t="s">
        <v>60</v>
      </c>
      <c r="L315" s="20" t="s">
        <v>60</v>
      </c>
    </row>
    <row r="316" ht="42" customHeight="1" spans="1:12">
      <c r="A316" s="17">
        <v>46549</v>
      </c>
      <c r="B316" s="8">
        <v>45</v>
      </c>
      <c r="C316" s="6" t="s">
        <v>33</v>
      </c>
      <c r="D316" s="6" t="s">
        <v>68</v>
      </c>
      <c r="E316" s="6" t="s">
        <v>420</v>
      </c>
      <c r="F316" s="6" t="s">
        <v>425</v>
      </c>
      <c r="G316" s="6" t="s">
        <v>70</v>
      </c>
      <c r="H316" s="18">
        <v>1.5</v>
      </c>
      <c r="I316" s="26"/>
      <c r="J316" s="20" t="s">
        <v>64</v>
      </c>
      <c r="K316" s="20" t="s">
        <v>60</v>
      </c>
      <c r="L316" s="20" t="s">
        <v>60</v>
      </c>
    </row>
    <row r="317" ht="42" customHeight="1" spans="1:12">
      <c r="A317" s="17">
        <v>46550</v>
      </c>
      <c r="B317" s="8">
        <v>45</v>
      </c>
      <c r="C317" s="6" t="s">
        <v>33</v>
      </c>
      <c r="D317" s="6" t="s">
        <v>71</v>
      </c>
      <c r="E317" s="6" t="s">
        <v>420</v>
      </c>
      <c r="F317" s="6" t="s">
        <v>426</v>
      </c>
      <c r="G317" s="6"/>
      <c r="H317" s="18">
        <v>4</v>
      </c>
      <c r="I317" s="26"/>
      <c r="J317" s="20" t="s">
        <v>64</v>
      </c>
      <c r="K317" s="20" t="s">
        <v>60</v>
      </c>
      <c r="L317" s="20" t="s">
        <v>60</v>
      </c>
    </row>
    <row r="318" ht="42" customHeight="1" spans="1:12">
      <c r="A318" s="17">
        <v>46551</v>
      </c>
      <c r="B318" s="8">
        <v>45</v>
      </c>
      <c r="C318" s="6" t="s">
        <v>33</v>
      </c>
      <c r="D318" s="6" t="s">
        <v>73</v>
      </c>
      <c r="E318" s="6" t="s">
        <v>420</v>
      </c>
      <c r="F318" s="6" t="s">
        <v>427</v>
      </c>
      <c r="G318" s="6" t="s">
        <v>75</v>
      </c>
      <c r="H318" s="18">
        <v>1</v>
      </c>
      <c r="I318" s="26"/>
      <c r="J318" s="20" t="s">
        <v>64</v>
      </c>
      <c r="K318" s="20" t="s">
        <v>60</v>
      </c>
      <c r="L318" s="20" t="s">
        <v>60</v>
      </c>
    </row>
    <row r="319" ht="42" customHeight="1" spans="1:12">
      <c r="A319" s="17">
        <v>46552</v>
      </c>
      <c r="B319" s="8">
        <v>46</v>
      </c>
      <c r="C319" s="6" t="s">
        <v>33</v>
      </c>
      <c r="D319" s="6" t="s">
        <v>50</v>
      </c>
      <c r="E319" s="6" t="s">
        <v>428</v>
      </c>
      <c r="F319" s="6" t="s">
        <v>429</v>
      </c>
      <c r="G319" s="6" t="s">
        <v>53</v>
      </c>
      <c r="H319" s="18">
        <v>1.5</v>
      </c>
      <c r="I319" s="26"/>
      <c r="J319" s="20" t="s">
        <v>64</v>
      </c>
      <c r="K319" s="20" t="s">
        <v>60</v>
      </c>
      <c r="L319" s="20" t="s">
        <v>60</v>
      </c>
    </row>
    <row r="320" ht="42" customHeight="1" spans="1:12">
      <c r="A320" s="17">
        <v>46553</v>
      </c>
      <c r="B320" s="8">
        <v>46</v>
      </c>
      <c r="C320" s="6" t="s">
        <v>33</v>
      </c>
      <c r="D320" s="6" t="s">
        <v>56</v>
      </c>
      <c r="E320" s="6" t="s">
        <v>428</v>
      </c>
      <c r="F320" s="6" t="s">
        <v>430</v>
      </c>
      <c r="G320" s="6" t="s">
        <v>58</v>
      </c>
      <c r="H320" s="18">
        <v>1.5</v>
      </c>
      <c r="I320" s="26"/>
      <c r="J320" s="20" t="s">
        <v>64</v>
      </c>
      <c r="K320" s="20" t="s">
        <v>60</v>
      </c>
      <c r="L320" s="20" t="s">
        <v>60</v>
      </c>
    </row>
    <row r="321" ht="42" customHeight="1" spans="1:12">
      <c r="A321" s="17">
        <v>46554</v>
      </c>
      <c r="B321" s="8">
        <v>46</v>
      </c>
      <c r="C321" s="6" t="s">
        <v>33</v>
      </c>
      <c r="D321" s="6" t="s">
        <v>61</v>
      </c>
      <c r="E321" s="6" t="s">
        <v>428</v>
      </c>
      <c r="F321" s="6" t="s">
        <v>431</v>
      </c>
      <c r="G321" s="6" t="s">
        <v>63</v>
      </c>
      <c r="H321" s="18">
        <v>1.5</v>
      </c>
      <c r="I321" s="26"/>
      <c r="J321" s="20" t="s">
        <v>64</v>
      </c>
      <c r="K321" s="20" t="s">
        <v>60</v>
      </c>
      <c r="L321" s="20" t="s">
        <v>60</v>
      </c>
    </row>
    <row r="322" ht="42" customHeight="1" spans="1:12">
      <c r="A322" s="17">
        <v>46555</v>
      </c>
      <c r="B322" s="8">
        <v>46</v>
      </c>
      <c r="C322" s="6" t="s">
        <v>33</v>
      </c>
      <c r="D322" s="6" t="s">
        <v>65</v>
      </c>
      <c r="E322" s="6" t="s">
        <v>428</v>
      </c>
      <c r="F322" s="6" t="s">
        <v>432</v>
      </c>
      <c r="G322" s="6" t="s">
        <v>67</v>
      </c>
      <c r="H322" s="18">
        <v>1.5</v>
      </c>
      <c r="I322" s="26"/>
      <c r="J322" s="20" t="s">
        <v>64</v>
      </c>
      <c r="K322" s="20" t="s">
        <v>60</v>
      </c>
      <c r="L322" s="20" t="s">
        <v>60</v>
      </c>
    </row>
    <row r="323" ht="42" customHeight="1" spans="1:12">
      <c r="A323" s="17">
        <v>46556</v>
      </c>
      <c r="B323" s="8">
        <v>46</v>
      </c>
      <c r="C323" s="6" t="s">
        <v>33</v>
      </c>
      <c r="D323" s="6" t="s">
        <v>68</v>
      </c>
      <c r="E323" s="6" t="s">
        <v>428</v>
      </c>
      <c r="F323" s="6" t="s">
        <v>433</v>
      </c>
      <c r="G323" s="6" t="s">
        <v>70</v>
      </c>
      <c r="H323" s="18">
        <v>1.5</v>
      </c>
      <c r="I323" s="26"/>
      <c r="J323" s="20" t="s">
        <v>64</v>
      </c>
      <c r="K323" s="20" t="s">
        <v>60</v>
      </c>
      <c r="L323" s="20" t="s">
        <v>60</v>
      </c>
    </row>
    <row r="324" ht="42" customHeight="1" spans="1:12">
      <c r="A324" s="17">
        <v>46557</v>
      </c>
      <c r="B324" s="8">
        <v>46</v>
      </c>
      <c r="C324" s="6" t="s">
        <v>33</v>
      </c>
      <c r="D324" s="6" t="s">
        <v>71</v>
      </c>
      <c r="E324" s="6" t="s">
        <v>428</v>
      </c>
      <c r="F324" s="6" t="s">
        <v>434</v>
      </c>
      <c r="G324" s="6"/>
      <c r="H324" s="18">
        <v>4</v>
      </c>
      <c r="I324" s="26"/>
      <c r="J324" s="20" t="s">
        <v>64</v>
      </c>
      <c r="K324" s="20" t="s">
        <v>60</v>
      </c>
      <c r="L324" s="20" t="s">
        <v>60</v>
      </c>
    </row>
    <row r="325" ht="42" customHeight="1" spans="1:12">
      <c r="A325" s="17">
        <v>46558</v>
      </c>
      <c r="B325" s="8">
        <v>46</v>
      </c>
      <c r="C325" s="6" t="s">
        <v>33</v>
      </c>
      <c r="D325" s="6" t="s">
        <v>73</v>
      </c>
      <c r="E325" s="6" t="s">
        <v>428</v>
      </c>
      <c r="F325" s="6" t="s">
        <v>435</v>
      </c>
      <c r="G325" s="6" t="s">
        <v>75</v>
      </c>
      <c r="H325" s="18">
        <v>1</v>
      </c>
      <c r="I325" s="26"/>
      <c r="J325" s="20" t="s">
        <v>64</v>
      </c>
      <c r="K325" s="20" t="s">
        <v>60</v>
      </c>
      <c r="L325" s="20" t="s">
        <v>60</v>
      </c>
    </row>
    <row r="326" ht="42" customHeight="1" spans="1:12">
      <c r="A326" s="17">
        <v>46559</v>
      </c>
      <c r="B326" s="8">
        <v>47</v>
      </c>
      <c r="C326" s="6" t="s">
        <v>33</v>
      </c>
      <c r="D326" s="6" t="s">
        <v>50</v>
      </c>
      <c r="E326" s="6" t="s">
        <v>436</v>
      </c>
      <c r="F326" s="6" t="s">
        <v>437</v>
      </c>
      <c r="G326" s="6" t="s">
        <v>53</v>
      </c>
      <c r="H326" s="18">
        <v>1.5</v>
      </c>
      <c r="I326" s="26"/>
      <c r="J326" s="20" t="s">
        <v>64</v>
      </c>
      <c r="K326" s="20" t="s">
        <v>60</v>
      </c>
      <c r="L326" s="20" t="s">
        <v>60</v>
      </c>
    </row>
    <row r="327" ht="42" customHeight="1" spans="1:12">
      <c r="A327" s="17">
        <v>46560</v>
      </c>
      <c r="B327" s="8">
        <v>47</v>
      </c>
      <c r="C327" s="6" t="s">
        <v>33</v>
      </c>
      <c r="D327" s="6" t="s">
        <v>56</v>
      </c>
      <c r="E327" s="6" t="s">
        <v>436</v>
      </c>
      <c r="F327" s="6" t="s">
        <v>438</v>
      </c>
      <c r="G327" s="6" t="s">
        <v>58</v>
      </c>
      <c r="H327" s="18">
        <v>1.5</v>
      </c>
      <c r="I327" s="26"/>
      <c r="J327" s="20" t="s">
        <v>64</v>
      </c>
      <c r="K327" s="20" t="s">
        <v>60</v>
      </c>
      <c r="L327" s="20" t="s">
        <v>60</v>
      </c>
    </row>
    <row r="328" ht="42" customHeight="1" spans="1:12">
      <c r="A328" s="17">
        <v>46561</v>
      </c>
      <c r="B328" s="8">
        <v>47</v>
      </c>
      <c r="C328" s="6" t="s">
        <v>33</v>
      </c>
      <c r="D328" s="6" t="s">
        <v>61</v>
      </c>
      <c r="E328" s="6" t="s">
        <v>436</v>
      </c>
      <c r="F328" s="6" t="s">
        <v>439</v>
      </c>
      <c r="G328" s="6" t="s">
        <v>63</v>
      </c>
      <c r="H328" s="18">
        <v>1.5</v>
      </c>
      <c r="I328" s="26"/>
      <c r="J328" s="20" t="s">
        <v>64</v>
      </c>
      <c r="K328" s="20" t="s">
        <v>60</v>
      </c>
      <c r="L328" s="20" t="s">
        <v>60</v>
      </c>
    </row>
    <row r="329" ht="42" customHeight="1" spans="1:12">
      <c r="A329" s="17">
        <v>46562</v>
      </c>
      <c r="B329" s="8">
        <v>47</v>
      </c>
      <c r="C329" s="6" t="s">
        <v>33</v>
      </c>
      <c r="D329" s="6" t="s">
        <v>65</v>
      </c>
      <c r="E329" s="6" t="s">
        <v>436</v>
      </c>
      <c r="F329" s="6" t="s">
        <v>440</v>
      </c>
      <c r="G329" s="6" t="s">
        <v>67</v>
      </c>
      <c r="H329" s="18">
        <v>1.5</v>
      </c>
      <c r="I329" s="26"/>
      <c r="J329" s="20" t="s">
        <v>64</v>
      </c>
      <c r="K329" s="20" t="s">
        <v>60</v>
      </c>
      <c r="L329" s="20" t="s">
        <v>60</v>
      </c>
    </row>
    <row r="330" ht="42" customHeight="1" spans="1:12">
      <c r="A330" s="17">
        <v>46563</v>
      </c>
      <c r="B330" s="8">
        <v>47</v>
      </c>
      <c r="C330" s="6" t="s">
        <v>33</v>
      </c>
      <c r="D330" s="6" t="s">
        <v>68</v>
      </c>
      <c r="E330" s="6" t="s">
        <v>436</v>
      </c>
      <c r="F330" s="6" t="s">
        <v>441</v>
      </c>
      <c r="G330" s="6" t="s">
        <v>70</v>
      </c>
      <c r="H330" s="18">
        <v>1.5</v>
      </c>
      <c r="I330" s="26"/>
      <c r="J330" s="20" t="s">
        <v>64</v>
      </c>
      <c r="K330" s="20" t="s">
        <v>60</v>
      </c>
      <c r="L330" s="20" t="s">
        <v>60</v>
      </c>
    </row>
    <row r="331" ht="42" customHeight="1" spans="1:12">
      <c r="A331" s="17">
        <v>46564</v>
      </c>
      <c r="B331" s="8">
        <v>47</v>
      </c>
      <c r="C331" s="6" t="s">
        <v>33</v>
      </c>
      <c r="D331" s="6" t="s">
        <v>71</v>
      </c>
      <c r="E331" s="6" t="s">
        <v>436</v>
      </c>
      <c r="F331" s="6" t="s">
        <v>442</v>
      </c>
      <c r="G331" s="6"/>
      <c r="H331" s="18">
        <v>4</v>
      </c>
      <c r="I331" s="26"/>
      <c r="J331" s="20" t="s">
        <v>64</v>
      </c>
      <c r="K331" s="20" t="s">
        <v>60</v>
      </c>
      <c r="L331" s="20" t="s">
        <v>60</v>
      </c>
    </row>
    <row r="332" ht="42" customHeight="1" spans="1:12">
      <c r="A332" s="17">
        <v>46565</v>
      </c>
      <c r="B332" s="8">
        <v>47</v>
      </c>
      <c r="C332" s="6" t="s">
        <v>33</v>
      </c>
      <c r="D332" s="6" t="s">
        <v>73</v>
      </c>
      <c r="E332" s="6" t="s">
        <v>436</v>
      </c>
      <c r="F332" s="6" t="s">
        <v>443</v>
      </c>
      <c r="G332" s="6" t="s">
        <v>75</v>
      </c>
      <c r="H332" s="18">
        <v>1</v>
      </c>
      <c r="I332" s="26"/>
      <c r="J332" s="20" t="s">
        <v>64</v>
      </c>
      <c r="K332" s="20" t="s">
        <v>60</v>
      </c>
      <c r="L332" s="20" t="s">
        <v>60</v>
      </c>
    </row>
    <row r="333" ht="42" customHeight="1" spans="1:12">
      <c r="A333" s="17">
        <v>46566</v>
      </c>
      <c r="B333" s="8">
        <v>48</v>
      </c>
      <c r="C333" s="6" t="s">
        <v>33</v>
      </c>
      <c r="D333" s="6" t="s">
        <v>50</v>
      </c>
      <c r="E333" s="6" t="s">
        <v>444</v>
      </c>
      <c r="F333" s="6" t="s">
        <v>445</v>
      </c>
      <c r="G333" s="6" t="s">
        <v>53</v>
      </c>
      <c r="H333" s="18">
        <v>1.5</v>
      </c>
      <c r="I333" s="26"/>
      <c r="J333" s="20" t="s">
        <v>64</v>
      </c>
      <c r="K333" s="20" t="s">
        <v>60</v>
      </c>
      <c r="L333" s="20" t="s">
        <v>60</v>
      </c>
    </row>
    <row r="334" ht="42" customHeight="1" spans="1:12">
      <c r="A334" s="17">
        <v>46567</v>
      </c>
      <c r="B334" s="8">
        <v>48</v>
      </c>
      <c r="C334" s="6" t="s">
        <v>33</v>
      </c>
      <c r="D334" s="6" t="s">
        <v>56</v>
      </c>
      <c r="E334" s="6" t="s">
        <v>444</v>
      </c>
      <c r="F334" s="6" t="s">
        <v>446</v>
      </c>
      <c r="G334" s="6" t="s">
        <v>58</v>
      </c>
      <c r="H334" s="18">
        <v>1.5</v>
      </c>
      <c r="I334" s="26"/>
      <c r="J334" s="20" t="s">
        <v>64</v>
      </c>
      <c r="K334" s="20" t="s">
        <v>60</v>
      </c>
      <c r="L334" s="20" t="s">
        <v>60</v>
      </c>
    </row>
    <row r="335" ht="42" customHeight="1" spans="1:12">
      <c r="A335" s="17">
        <v>46568</v>
      </c>
      <c r="B335" s="8">
        <v>48</v>
      </c>
      <c r="C335" s="6" t="s">
        <v>33</v>
      </c>
      <c r="D335" s="6" t="s">
        <v>61</v>
      </c>
      <c r="E335" s="6" t="s">
        <v>444</v>
      </c>
      <c r="F335" s="6" t="s">
        <v>447</v>
      </c>
      <c r="G335" s="6" t="s">
        <v>63</v>
      </c>
      <c r="H335" s="18">
        <v>1.5</v>
      </c>
      <c r="I335" s="26"/>
      <c r="J335" s="20" t="s">
        <v>64</v>
      </c>
      <c r="K335" s="20" t="s">
        <v>60</v>
      </c>
      <c r="L335" s="20" t="s">
        <v>60</v>
      </c>
    </row>
    <row r="336" ht="42" customHeight="1" spans="1:12">
      <c r="A336" s="17">
        <v>46569</v>
      </c>
      <c r="B336" s="8">
        <v>48</v>
      </c>
      <c r="C336" s="6" t="s">
        <v>33</v>
      </c>
      <c r="D336" s="6" t="s">
        <v>65</v>
      </c>
      <c r="E336" s="6" t="s">
        <v>444</v>
      </c>
      <c r="F336" s="6" t="s">
        <v>448</v>
      </c>
      <c r="G336" s="6" t="s">
        <v>67</v>
      </c>
      <c r="H336" s="18">
        <v>1.5</v>
      </c>
      <c r="I336" s="26"/>
      <c r="J336" s="20" t="s">
        <v>64</v>
      </c>
      <c r="K336" s="20" t="s">
        <v>60</v>
      </c>
      <c r="L336" s="20" t="s">
        <v>60</v>
      </c>
    </row>
    <row r="337" ht="42" customHeight="1" spans="1:12">
      <c r="A337" s="17">
        <v>46570</v>
      </c>
      <c r="B337" s="8">
        <v>48</v>
      </c>
      <c r="C337" s="6" t="s">
        <v>33</v>
      </c>
      <c r="D337" s="6" t="s">
        <v>68</v>
      </c>
      <c r="E337" s="6" t="s">
        <v>444</v>
      </c>
      <c r="F337" s="6" t="s">
        <v>449</v>
      </c>
      <c r="G337" s="6" t="s">
        <v>70</v>
      </c>
      <c r="H337" s="18">
        <v>1.5</v>
      </c>
      <c r="I337" s="26"/>
      <c r="J337" s="20" t="s">
        <v>64</v>
      </c>
      <c r="K337" s="20" t="s">
        <v>60</v>
      </c>
      <c r="L337" s="20" t="s">
        <v>60</v>
      </c>
    </row>
    <row r="338" ht="42" customHeight="1" spans="1:12">
      <c r="A338" s="17">
        <v>46571</v>
      </c>
      <c r="B338" s="8">
        <v>48</v>
      </c>
      <c r="C338" s="6" t="s">
        <v>33</v>
      </c>
      <c r="D338" s="6" t="s">
        <v>71</v>
      </c>
      <c r="E338" s="6" t="s">
        <v>444</v>
      </c>
      <c r="F338" s="6" t="s">
        <v>450</v>
      </c>
      <c r="G338" s="6"/>
      <c r="H338" s="18">
        <v>4</v>
      </c>
      <c r="I338" s="26"/>
      <c r="J338" s="20" t="s">
        <v>64</v>
      </c>
      <c r="K338" s="20" t="s">
        <v>60</v>
      </c>
      <c r="L338" s="20" t="s">
        <v>60</v>
      </c>
    </row>
    <row r="339" ht="42" customHeight="1" spans="1:12">
      <c r="A339" s="17">
        <v>46572</v>
      </c>
      <c r="B339" s="8">
        <v>48</v>
      </c>
      <c r="C339" s="6" t="s">
        <v>33</v>
      </c>
      <c r="D339" s="6" t="s">
        <v>73</v>
      </c>
      <c r="E339" s="6" t="s">
        <v>444</v>
      </c>
      <c r="F339" s="6" t="s">
        <v>451</v>
      </c>
      <c r="G339" s="6" t="s">
        <v>75</v>
      </c>
      <c r="H339" s="18">
        <v>1</v>
      </c>
      <c r="I339" s="26"/>
      <c r="J339" s="20" t="s">
        <v>64</v>
      </c>
      <c r="K339" s="20" t="s">
        <v>60</v>
      </c>
      <c r="L339" s="20" t="s">
        <v>60</v>
      </c>
    </row>
    <row r="340" ht="42" customHeight="1" spans="1:12">
      <c r="A340" s="17">
        <v>46573</v>
      </c>
      <c r="B340" s="8">
        <v>49</v>
      </c>
      <c r="C340" s="6" t="s">
        <v>33</v>
      </c>
      <c r="D340" s="6" t="s">
        <v>50</v>
      </c>
      <c r="E340" s="6" t="s">
        <v>452</v>
      </c>
      <c r="F340" s="6" t="s">
        <v>453</v>
      </c>
      <c r="G340" s="6" t="s">
        <v>53</v>
      </c>
      <c r="H340" s="18">
        <v>1.5</v>
      </c>
      <c r="I340" s="26"/>
      <c r="J340" s="20" t="s">
        <v>64</v>
      </c>
      <c r="K340" s="20" t="s">
        <v>60</v>
      </c>
      <c r="L340" s="20" t="s">
        <v>60</v>
      </c>
    </row>
    <row r="341" ht="42" customHeight="1" spans="1:12">
      <c r="A341" s="17">
        <v>46574</v>
      </c>
      <c r="B341" s="8">
        <v>49</v>
      </c>
      <c r="C341" s="6" t="s">
        <v>33</v>
      </c>
      <c r="D341" s="6" t="s">
        <v>56</v>
      </c>
      <c r="E341" s="6" t="s">
        <v>452</v>
      </c>
      <c r="F341" s="6" t="s">
        <v>454</v>
      </c>
      <c r="G341" s="6" t="s">
        <v>58</v>
      </c>
      <c r="H341" s="18">
        <v>1.5</v>
      </c>
      <c r="I341" s="26"/>
      <c r="J341" s="20" t="s">
        <v>64</v>
      </c>
      <c r="K341" s="20" t="s">
        <v>60</v>
      </c>
      <c r="L341" s="20" t="s">
        <v>60</v>
      </c>
    </row>
    <row r="342" ht="42" customHeight="1" spans="1:12">
      <c r="A342" s="17">
        <v>46575</v>
      </c>
      <c r="B342" s="8">
        <v>49</v>
      </c>
      <c r="C342" s="6" t="s">
        <v>33</v>
      </c>
      <c r="D342" s="6" t="s">
        <v>61</v>
      </c>
      <c r="E342" s="6" t="s">
        <v>452</v>
      </c>
      <c r="F342" s="6" t="s">
        <v>455</v>
      </c>
      <c r="G342" s="6" t="s">
        <v>63</v>
      </c>
      <c r="H342" s="18">
        <v>1.5</v>
      </c>
      <c r="I342" s="26"/>
      <c r="J342" s="20" t="s">
        <v>64</v>
      </c>
      <c r="K342" s="20" t="s">
        <v>60</v>
      </c>
      <c r="L342" s="20" t="s">
        <v>60</v>
      </c>
    </row>
    <row r="343" ht="42" customHeight="1" spans="1:12">
      <c r="A343" s="17">
        <v>46576</v>
      </c>
      <c r="B343" s="8">
        <v>49</v>
      </c>
      <c r="C343" s="6" t="s">
        <v>33</v>
      </c>
      <c r="D343" s="6" t="s">
        <v>65</v>
      </c>
      <c r="E343" s="6" t="s">
        <v>452</v>
      </c>
      <c r="F343" s="6" t="s">
        <v>456</v>
      </c>
      <c r="G343" s="6" t="s">
        <v>67</v>
      </c>
      <c r="H343" s="18">
        <v>1.5</v>
      </c>
      <c r="I343" s="26"/>
      <c r="J343" s="20" t="s">
        <v>64</v>
      </c>
      <c r="K343" s="20" t="s">
        <v>60</v>
      </c>
      <c r="L343" s="20" t="s">
        <v>60</v>
      </c>
    </row>
    <row r="344" ht="42" customHeight="1" spans="1:12">
      <c r="A344" s="17">
        <v>46577</v>
      </c>
      <c r="B344" s="8">
        <v>49</v>
      </c>
      <c r="C344" s="6" t="s">
        <v>33</v>
      </c>
      <c r="D344" s="6" t="s">
        <v>68</v>
      </c>
      <c r="E344" s="6" t="s">
        <v>452</v>
      </c>
      <c r="F344" s="6" t="s">
        <v>457</v>
      </c>
      <c r="G344" s="6" t="s">
        <v>70</v>
      </c>
      <c r="H344" s="18">
        <v>1.5</v>
      </c>
      <c r="I344" s="26"/>
      <c r="J344" s="20" t="s">
        <v>64</v>
      </c>
      <c r="K344" s="20" t="s">
        <v>60</v>
      </c>
      <c r="L344" s="20" t="s">
        <v>60</v>
      </c>
    </row>
    <row r="345" ht="42" customHeight="1" spans="1:12">
      <c r="A345" s="17">
        <v>46578</v>
      </c>
      <c r="B345" s="8">
        <v>49</v>
      </c>
      <c r="C345" s="6" t="s">
        <v>33</v>
      </c>
      <c r="D345" s="6" t="s">
        <v>71</v>
      </c>
      <c r="E345" s="6" t="s">
        <v>452</v>
      </c>
      <c r="F345" s="6" t="s">
        <v>458</v>
      </c>
      <c r="G345" s="6"/>
      <c r="H345" s="18">
        <v>4</v>
      </c>
      <c r="I345" s="26"/>
      <c r="J345" s="20" t="s">
        <v>64</v>
      </c>
      <c r="K345" s="20" t="s">
        <v>60</v>
      </c>
      <c r="L345" s="20" t="s">
        <v>60</v>
      </c>
    </row>
    <row r="346" ht="42" customHeight="1" spans="1:12">
      <c r="A346" s="17">
        <v>46579</v>
      </c>
      <c r="B346" s="8">
        <v>49</v>
      </c>
      <c r="C346" s="6" t="s">
        <v>33</v>
      </c>
      <c r="D346" s="6" t="s">
        <v>73</v>
      </c>
      <c r="E346" s="6" t="s">
        <v>452</v>
      </c>
      <c r="F346" s="6" t="s">
        <v>459</v>
      </c>
      <c r="G346" s="6" t="s">
        <v>75</v>
      </c>
      <c r="H346" s="18">
        <v>1</v>
      </c>
      <c r="I346" s="26"/>
      <c r="J346" s="20" t="s">
        <v>64</v>
      </c>
      <c r="K346" s="20" t="s">
        <v>60</v>
      </c>
      <c r="L346" s="20" t="s">
        <v>60</v>
      </c>
    </row>
    <row r="347" ht="42" customHeight="1" spans="1:12">
      <c r="A347" s="17">
        <v>46580</v>
      </c>
      <c r="B347" s="8">
        <v>50</v>
      </c>
      <c r="C347" s="6" t="s">
        <v>33</v>
      </c>
      <c r="D347" s="6" t="s">
        <v>50</v>
      </c>
      <c r="E347" s="6" t="s">
        <v>460</v>
      </c>
      <c r="F347" s="6" t="s">
        <v>461</v>
      </c>
      <c r="G347" s="6" t="s">
        <v>53</v>
      </c>
      <c r="H347" s="18">
        <v>1.5</v>
      </c>
      <c r="I347" s="26"/>
      <c r="J347" s="20" t="s">
        <v>64</v>
      </c>
      <c r="K347" s="20" t="s">
        <v>60</v>
      </c>
      <c r="L347" s="20" t="s">
        <v>60</v>
      </c>
    </row>
    <row r="348" ht="42" customHeight="1" spans="1:12">
      <c r="A348" s="17">
        <v>46581</v>
      </c>
      <c r="B348" s="8">
        <v>50</v>
      </c>
      <c r="C348" s="6" t="s">
        <v>33</v>
      </c>
      <c r="D348" s="6" t="s">
        <v>56</v>
      </c>
      <c r="E348" s="6" t="s">
        <v>460</v>
      </c>
      <c r="F348" s="6" t="s">
        <v>462</v>
      </c>
      <c r="G348" s="6" t="s">
        <v>58</v>
      </c>
      <c r="H348" s="18">
        <v>1.5</v>
      </c>
      <c r="I348" s="26"/>
      <c r="J348" s="20" t="s">
        <v>64</v>
      </c>
      <c r="K348" s="20" t="s">
        <v>60</v>
      </c>
      <c r="L348" s="20" t="s">
        <v>60</v>
      </c>
    </row>
    <row r="349" ht="42" customHeight="1" spans="1:12">
      <c r="A349" s="17">
        <v>46582</v>
      </c>
      <c r="B349" s="8">
        <v>50</v>
      </c>
      <c r="C349" s="6" t="s">
        <v>33</v>
      </c>
      <c r="D349" s="6" t="s">
        <v>61</v>
      </c>
      <c r="E349" s="6" t="s">
        <v>460</v>
      </c>
      <c r="F349" s="6" t="s">
        <v>463</v>
      </c>
      <c r="G349" s="6" t="s">
        <v>63</v>
      </c>
      <c r="H349" s="18">
        <v>1.5</v>
      </c>
      <c r="I349" s="26"/>
      <c r="J349" s="20" t="s">
        <v>64</v>
      </c>
      <c r="K349" s="20" t="s">
        <v>60</v>
      </c>
      <c r="L349" s="20" t="s">
        <v>60</v>
      </c>
    </row>
    <row r="350" ht="42" customHeight="1" spans="1:12">
      <c r="A350" s="17">
        <v>46583</v>
      </c>
      <c r="B350" s="8">
        <v>50</v>
      </c>
      <c r="C350" s="6" t="s">
        <v>33</v>
      </c>
      <c r="D350" s="6" t="s">
        <v>65</v>
      </c>
      <c r="E350" s="6" t="s">
        <v>460</v>
      </c>
      <c r="F350" s="6" t="s">
        <v>464</v>
      </c>
      <c r="G350" s="6" t="s">
        <v>67</v>
      </c>
      <c r="H350" s="18">
        <v>1.5</v>
      </c>
      <c r="I350" s="26"/>
      <c r="J350" s="20" t="s">
        <v>64</v>
      </c>
      <c r="K350" s="20" t="s">
        <v>60</v>
      </c>
      <c r="L350" s="20" t="s">
        <v>60</v>
      </c>
    </row>
    <row r="351" ht="42" customHeight="1" spans="1:12">
      <c r="A351" s="17">
        <v>46584</v>
      </c>
      <c r="B351" s="8">
        <v>50</v>
      </c>
      <c r="C351" s="6" t="s">
        <v>33</v>
      </c>
      <c r="D351" s="6" t="s">
        <v>68</v>
      </c>
      <c r="E351" s="6" t="s">
        <v>460</v>
      </c>
      <c r="F351" s="6" t="s">
        <v>465</v>
      </c>
      <c r="G351" s="6" t="s">
        <v>70</v>
      </c>
      <c r="H351" s="18">
        <v>1.5</v>
      </c>
      <c r="I351" s="26"/>
      <c r="J351" s="20" t="s">
        <v>64</v>
      </c>
      <c r="K351" s="20" t="s">
        <v>60</v>
      </c>
      <c r="L351" s="20" t="s">
        <v>60</v>
      </c>
    </row>
    <row r="352" ht="42" customHeight="1" spans="1:12">
      <c r="A352" s="17">
        <v>46585</v>
      </c>
      <c r="B352" s="8">
        <v>50</v>
      </c>
      <c r="C352" s="6" t="s">
        <v>33</v>
      </c>
      <c r="D352" s="6" t="s">
        <v>71</v>
      </c>
      <c r="E352" s="6" t="s">
        <v>460</v>
      </c>
      <c r="F352" s="6" t="s">
        <v>466</v>
      </c>
      <c r="G352" s="6"/>
      <c r="H352" s="18">
        <v>4</v>
      </c>
      <c r="I352" s="26"/>
      <c r="J352" s="20" t="s">
        <v>64</v>
      </c>
      <c r="K352" s="20" t="s">
        <v>60</v>
      </c>
      <c r="L352" s="20" t="s">
        <v>60</v>
      </c>
    </row>
    <row r="353" ht="42" customHeight="1" spans="1:12">
      <c r="A353" s="17">
        <v>46586</v>
      </c>
      <c r="B353" s="8">
        <v>50</v>
      </c>
      <c r="C353" s="6" t="s">
        <v>33</v>
      </c>
      <c r="D353" s="6" t="s">
        <v>73</v>
      </c>
      <c r="E353" s="6" t="s">
        <v>460</v>
      </c>
      <c r="F353" s="6" t="s">
        <v>467</v>
      </c>
      <c r="G353" s="6" t="s">
        <v>75</v>
      </c>
      <c r="H353" s="18">
        <v>1</v>
      </c>
      <c r="I353" s="26"/>
      <c r="J353" s="20" t="s">
        <v>64</v>
      </c>
      <c r="K353" s="20" t="s">
        <v>60</v>
      </c>
      <c r="L353" s="20" t="s">
        <v>60</v>
      </c>
    </row>
    <row r="354" ht="42" customHeight="1" spans="1:12">
      <c r="A354" s="17">
        <v>46587</v>
      </c>
      <c r="B354" s="8">
        <v>51</v>
      </c>
      <c r="C354" s="6" t="s">
        <v>33</v>
      </c>
      <c r="D354" s="6" t="s">
        <v>50</v>
      </c>
      <c r="E354" s="6" t="s">
        <v>468</v>
      </c>
      <c r="F354" s="6" t="s">
        <v>469</v>
      </c>
      <c r="G354" s="6" t="s">
        <v>53</v>
      </c>
      <c r="H354" s="18">
        <v>1.5</v>
      </c>
      <c r="I354" s="26"/>
      <c r="J354" s="20" t="s">
        <v>64</v>
      </c>
      <c r="K354" s="20" t="s">
        <v>60</v>
      </c>
      <c r="L354" s="20" t="s">
        <v>60</v>
      </c>
    </row>
    <row r="355" ht="42" customHeight="1" spans="1:12">
      <c r="A355" s="17">
        <v>46588</v>
      </c>
      <c r="B355" s="8">
        <v>51</v>
      </c>
      <c r="C355" s="6" t="s">
        <v>33</v>
      </c>
      <c r="D355" s="6" t="s">
        <v>56</v>
      </c>
      <c r="E355" s="6" t="s">
        <v>468</v>
      </c>
      <c r="F355" s="6" t="s">
        <v>470</v>
      </c>
      <c r="G355" s="6" t="s">
        <v>58</v>
      </c>
      <c r="H355" s="18">
        <v>1.5</v>
      </c>
      <c r="I355" s="26"/>
      <c r="J355" s="20" t="s">
        <v>64</v>
      </c>
      <c r="K355" s="20" t="s">
        <v>60</v>
      </c>
      <c r="L355" s="20" t="s">
        <v>60</v>
      </c>
    </row>
    <row r="356" ht="42" customHeight="1" spans="1:12">
      <c r="A356" s="17">
        <v>46589</v>
      </c>
      <c r="B356" s="8">
        <v>51</v>
      </c>
      <c r="C356" s="6" t="s">
        <v>33</v>
      </c>
      <c r="D356" s="6" t="s">
        <v>61</v>
      </c>
      <c r="E356" s="6" t="s">
        <v>468</v>
      </c>
      <c r="F356" s="6" t="s">
        <v>471</v>
      </c>
      <c r="G356" s="6" t="s">
        <v>63</v>
      </c>
      <c r="H356" s="18">
        <v>1.5</v>
      </c>
      <c r="I356" s="26"/>
      <c r="J356" s="20" t="s">
        <v>64</v>
      </c>
      <c r="K356" s="20" t="s">
        <v>60</v>
      </c>
      <c r="L356" s="20" t="s">
        <v>60</v>
      </c>
    </row>
    <row r="357" ht="42" customHeight="1" spans="1:12">
      <c r="A357" s="17">
        <v>46590</v>
      </c>
      <c r="B357" s="8">
        <v>51</v>
      </c>
      <c r="C357" s="6" t="s">
        <v>33</v>
      </c>
      <c r="D357" s="6" t="s">
        <v>65</v>
      </c>
      <c r="E357" s="6" t="s">
        <v>468</v>
      </c>
      <c r="F357" s="6" t="s">
        <v>472</v>
      </c>
      <c r="G357" s="6" t="s">
        <v>67</v>
      </c>
      <c r="H357" s="18">
        <v>1.5</v>
      </c>
      <c r="I357" s="26"/>
      <c r="J357" s="20" t="s">
        <v>64</v>
      </c>
      <c r="K357" s="20" t="s">
        <v>60</v>
      </c>
      <c r="L357" s="20" t="s">
        <v>60</v>
      </c>
    </row>
    <row r="358" ht="42" customHeight="1" spans="1:12">
      <c r="A358" s="17">
        <v>46591</v>
      </c>
      <c r="B358" s="8">
        <v>51</v>
      </c>
      <c r="C358" s="6" t="s">
        <v>33</v>
      </c>
      <c r="D358" s="6" t="s">
        <v>68</v>
      </c>
      <c r="E358" s="6" t="s">
        <v>468</v>
      </c>
      <c r="F358" s="6" t="s">
        <v>473</v>
      </c>
      <c r="G358" s="6" t="s">
        <v>70</v>
      </c>
      <c r="H358" s="18">
        <v>1.5</v>
      </c>
      <c r="I358" s="26"/>
      <c r="J358" s="20" t="s">
        <v>64</v>
      </c>
      <c r="K358" s="20" t="s">
        <v>60</v>
      </c>
      <c r="L358" s="20" t="s">
        <v>60</v>
      </c>
    </row>
    <row r="359" ht="42" customHeight="1" spans="1:12">
      <c r="A359" s="17">
        <v>46592</v>
      </c>
      <c r="B359" s="8">
        <v>51</v>
      </c>
      <c r="C359" s="6" t="s">
        <v>33</v>
      </c>
      <c r="D359" s="6" t="s">
        <v>71</v>
      </c>
      <c r="E359" s="6" t="s">
        <v>468</v>
      </c>
      <c r="F359" s="6" t="s">
        <v>474</v>
      </c>
      <c r="G359" s="6"/>
      <c r="H359" s="18">
        <v>4</v>
      </c>
      <c r="I359" s="26"/>
      <c r="J359" s="20" t="s">
        <v>64</v>
      </c>
      <c r="K359" s="20" t="s">
        <v>60</v>
      </c>
      <c r="L359" s="20" t="s">
        <v>60</v>
      </c>
    </row>
    <row r="360" ht="42" customHeight="1" spans="1:12">
      <c r="A360" s="17">
        <v>46593</v>
      </c>
      <c r="B360" s="8">
        <v>51</v>
      </c>
      <c r="C360" s="6" t="s">
        <v>33</v>
      </c>
      <c r="D360" s="6" t="s">
        <v>73</v>
      </c>
      <c r="E360" s="6" t="s">
        <v>468</v>
      </c>
      <c r="F360" s="6" t="s">
        <v>475</v>
      </c>
      <c r="G360" s="6" t="s">
        <v>75</v>
      </c>
      <c r="H360" s="18">
        <v>1</v>
      </c>
      <c r="I360" s="26"/>
      <c r="J360" s="20" t="s">
        <v>64</v>
      </c>
      <c r="K360" s="20" t="s">
        <v>60</v>
      </c>
      <c r="L360" s="20" t="s">
        <v>60</v>
      </c>
    </row>
    <row r="361" ht="42" customHeight="1" spans="1:12">
      <c r="A361" s="17">
        <v>46594</v>
      </c>
      <c r="B361" s="8">
        <v>52</v>
      </c>
      <c r="C361" s="6" t="s">
        <v>33</v>
      </c>
      <c r="D361" s="6" t="s">
        <v>50</v>
      </c>
      <c r="E361" s="6" t="s">
        <v>476</v>
      </c>
      <c r="F361" s="6" t="s">
        <v>477</v>
      </c>
      <c r="G361" s="6" t="s">
        <v>53</v>
      </c>
      <c r="H361" s="18">
        <v>1.5</v>
      </c>
      <c r="I361" s="26"/>
      <c r="J361" s="20" t="s">
        <v>64</v>
      </c>
      <c r="K361" s="20" t="s">
        <v>60</v>
      </c>
      <c r="L361" s="20" t="s">
        <v>60</v>
      </c>
    </row>
    <row r="362" ht="42" customHeight="1" spans="1:12">
      <c r="A362" s="17">
        <v>46595</v>
      </c>
      <c r="B362" s="8">
        <v>52</v>
      </c>
      <c r="C362" s="6" t="s">
        <v>33</v>
      </c>
      <c r="D362" s="6" t="s">
        <v>56</v>
      </c>
      <c r="E362" s="6" t="s">
        <v>476</v>
      </c>
      <c r="F362" s="6" t="s">
        <v>478</v>
      </c>
      <c r="G362" s="6" t="s">
        <v>58</v>
      </c>
      <c r="H362" s="18">
        <v>1.5</v>
      </c>
      <c r="I362" s="26"/>
      <c r="J362" s="20" t="s">
        <v>64</v>
      </c>
      <c r="K362" s="20" t="s">
        <v>60</v>
      </c>
      <c r="L362" s="20" t="s">
        <v>60</v>
      </c>
    </row>
    <row r="363" ht="42" customHeight="1" spans="1:12">
      <c r="A363" s="17">
        <v>46596</v>
      </c>
      <c r="B363" s="8">
        <v>52</v>
      </c>
      <c r="C363" s="6" t="s">
        <v>33</v>
      </c>
      <c r="D363" s="6" t="s">
        <v>61</v>
      </c>
      <c r="E363" s="6" t="s">
        <v>476</v>
      </c>
      <c r="F363" s="6" t="s">
        <v>479</v>
      </c>
      <c r="G363" s="6" t="s">
        <v>63</v>
      </c>
      <c r="H363" s="18">
        <v>1.5</v>
      </c>
      <c r="I363" s="26"/>
      <c r="J363" s="20" t="s">
        <v>64</v>
      </c>
      <c r="K363" s="20" t="s">
        <v>60</v>
      </c>
      <c r="L363" s="20" t="s">
        <v>60</v>
      </c>
    </row>
    <row r="364" ht="42" customHeight="1" spans="1:12">
      <c r="A364" s="17">
        <v>46597</v>
      </c>
      <c r="B364" s="8">
        <v>52</v>
      </c>
      <c r="C364" s="6" t="s">
        <v>33</v>
      </c>
      <c r="D364" s="6" t="s">
        <v>65</v>
      </c>
      <c r="E364" s="6" t="s">
        <v>476</v>
      </c>
      <c r="F364" s="6" t="s">
        <v>480</v>
      </c>
      <c r="G364" s="6" t="s">
        <v>67</v>
      </c>
      <c r="H364" s="18">
        <v>1.5</v>
      </c>
      <c r="I364" s="26"/>
      <c r="J364" s="20" t="s">
        <v>64</v>
      </c>
      <c r="K364" s="20" t="s">
        <v>60</v>
      </c>
      <c r="L364" s="20" t="s">
        <v>60</v>
      </c>
    </row>
    <row r="365" ht="42" customHeight="1" spans="1:12">
      <c r="A365" s="17">
        <v>46598</v>
      </c>
      <c r="B365" s="8">
        <v>52</v>
      </c>
      <c r="C365" s="6" t="s">
        <v>33</v>
      </c>
      <c r="D365" s="6" t="s">
        <v>68</v>
      </c>
      <c r="E365" s="6" t="s">
        <v>476</v>
      </c>
      <c r="F365" s="6" t="s">
        <v>481</v>
      </c>
      <c r="G365" s="6" t="s">
        <v>70</v>
      </c>
      <c r="H365" s="18">
        <v>1.5</v>
      </c>
      <c r="I365" s="26"/>
      <c r="J365" s="20" t="s">
        <v>64</v>
      </c>
      <c r="K365" s="20" t="s">
        <v>60</v>
      </c>
      <c r="L365" s="20" t="s">
        <v>60</v>
      </c>
    </row>
    <row r="366" ht="42" customHeight="1" spans="1:12">
      <c r="A366" s="17">
        <v>46599</v>
      </c>
      <c r="B366" s="8">
        <v>52</v>
      </c>
      <c r="C366" s="6" t="s">
        <v>33</v>
      </c>
      <c r="D366" s="6" t="s">
        <v>71</v>
      </c>
      <c r="E366" s="6" t="s">
        <v>476</v>
      </c>
      <c r="F366" s="6" t="s">
        <v>482</v>
      </c>
      <c r="G366" s="6"/>
      <c r="H366" s="18">
        <v>4</v>
      </c>
      <c r="I366" s="26"/>
      <c r="J366" s="20" t="s">
        <v>64</v>
      </c>
      <c r="K366" s="20" t="s">
        <v>60</v>
      </c>
      <c r="L366" s="20" t="s">
        <v>60</v>
      </c>
    </row>
    <row r="367" ht="42" customHeight="1" spans="1:12">
      <c r="A367" s="21">
        <v>46600</v>
      </c>
      <c r="B367" s="11">
        <v>52</v>
      </c>
      <c r="C367" s="9" t="s">
        <v>33</v>
      </c>
      <c r="D367" s="9" t="s">
        <v>73</v>
      </c>
      <c r="E367" s="9" t="s">
        <v>476</v>
      </c>
      <c r="F367" s="9" t="s">
        <v>483</v>
      </c>
      <c r="G367" s="9" t="s">
        <v>75</v>
      </c>
      <c r="H367" s="22">
        <v>1</v>
      </c>
      <c r="I367" s="27"/>
      <c r="J367" s="24" t="s">
        <v>64</v>
      </c>
      <c r="K367" s="24" t="s">
        <v>60</v>
      </c>
      <c r="L367" s="24" t="s">
        <v>60</v>
      </c>
    </row>
  </sheetData>
  <mergeCells count="1">
    <mergeCell ref="A1:L2"/>
  </mergeCells>
  <conditionalFormatting sqref="J4:J367">
    <cfRule type="containsText" dxfId="0" priority="1" operator="between" text="已完成">
      <formula>NOT(ISERROR(SEARCH("已完成",J4)))</formula>
    </cfRule>
    <cfRule type="containsText" dxfId="1" priority="2" operator="between" text="进行中">
      <formula>NOT(ISERROR(SEARCH("进行中",J4)))</formula>
    </cfRule>
    <cfRule type="containsText" dxfId="2" priority="3" operator="between" text="跳过/调整">
      <formula>NOT(ISERROR(SEARCH("跳过/调整",J4)))</formula>
    </cfRule>
  </conditionalFormatting>
  <dataValidations count="2">
    <dataValidation type="decimal" operator="between" sqref="I4:I367">
      <formula1>0</formula1>
      <formula2>12</formula2>
    </dataValidation>
    <dataValidation type="list" sqref="J4:J367">
      <formula1>"未开始,进行中,已完成,跳过/调整"</formula1>
    </dataValidation>
  </dataValidations>
  <pageMargins left="0.7" right="0.7" top="0.75" bottom="0.75" header="0.3" footer="0.3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showGridLines="0" workbookViewId="0">
      <selection activeCell="F5" sqref="F5"/>
    </sheetView>
  </sheetViews>
  <sheetFormatPr defaultColWidth="9" defaultRowHeight="14.25"/>
  <cols>
    <col min="1" max="1" width="7" customWidth="1"/>
    <col min="2" max="3" width="13" customWidth="1"/>
    <col min="4" max="4" width="17" customWidth="1"/>
    <col min="5" max="5" width="24" customWidth="1"/>
    <col min="6" max="6" width="45" customWidth="1"/>
    <col min="7" max="12" width="12" customWidth="1"/>
    <col min="13" max="13" width="42" customWidth="1"/>
  </cols>
  <sheetData>
    <row r="1" ht="52" customHeight="1" spans="1:13">
      <c r="A1" s="1" t="s">
        <v>484</v>
      </c>
    </row>
    <row r="2" ht="52" customHeight="1"/>
    <row r="3" ht="15" spans="1:13">
      <c r="A3" s="2" t="s">
        <v>15</v>
      </c>
      <c r="B3" s="2" t="s">
        <v>485</v>
      </c>
      <c r="C3" s="2" t="s">
        <v>486</v>
      </c>
      <c r="D3" s="2" t="s">
        <v>16</v>
      </c>
      <c r="E3" s="2" t="s">
        <v>43</v>
      </c>
      <c r="F3" s="2" t="s">
        <v>487</v>
      </c>
      <c r="G3" s="2" t="s">
        <v>19</v>
      </c>
      <c r="H3" s="2" t="s">
        <v>25</v>
      </c>
      <c r="I3" s="2" t="s">
        <v>488</v>
      </c>
      <c r="J3" s="2" t="s">
        <v>489</v>
      </c>
      <c r="K3" s="2" t="s">
        <v>24</v>
      </c>
      <c r="L3" s="2" t="s">
        <v>490</v>
      </c>
      <c r="M3" s="2" t="s">
        <v>491</v>
      </c>
    </row>
    <row r="4" ht="42" customHeight="1" spans="1:13">
      <c r="A4" s="3">
        <v>1</v>
      </c>
      <c r="B4" s="13">
        <v>46237</v>
      </c>
      <c r="C4" s="13">
        <v>46243</v>
      </c>
      <c r="D4" s="3" t="s">
        <v>30</v>
      </c>
      <c r="E4" s="3" t="s">
        <v>51</v>
      </c>
      <c r="F4" s="3" t="s">
        <v>492</v>
      </c>
      <c r="G4" s="14">
        <f>SUMIF(每日计划!$B$4:$B$367,A4,每日计划!$H$4:$H$367)</f>
        <v>12.5</v>
      </c>
      <c r="H4" s="14">
        <f>SUMIF(每日计划!$B$4:$B$367,A4,每日计划!$I$4:$I$367)</f>
        <v>0</v>
      </c>
      <c r="I4" s="3">
        <f>COUNTIFS(每日计划!$B$4:$B$367,A4,每日计划!$J$4:$J$367,"已完成")</f>
        <v>1</v>
      </c>
      <c r="J4" s="3">
        <f t="shared" ref="J4:J55" si="0">7</f>
        <v>7</v>
      </c>
      <c r="K4" s="15">
        <f t="shared" ref="K4:K55" si="1">IFERROR(I4/J4,0)</f>
        <v>0.142857142857143</v>
      </c>
      <c r="L4" s="16"/>
      <c r="M4" s="16" t="s">
        <v>60</v>
      </c>
    </row>
    <row r="5" ht="42" customHeight="1" spans="1:13">
      <c r="A5" s="6">
        <v>2</v>
      </c>
      <c r="B5" s="17">
        <v>46244</v>
      </c>
      <c r="C5" s="17">
        <v>46250</v>
      </c>
      <c r="D5" s="6" t="s">
        <v>30</v>
      </c>
      <c r="E5" s="6" t="s">
        <v>76</v>
      </c>
      <c r="F5" s="6" t="s">
        <v>493</v>
      </c>
      <c r="G5" s="18">
        <f>SUMIF(每日计划!$B$4:$B$367,A5,每日计划!$H$4:$H$367)</f>
        <v>12.5</v>
      </c>
      <c r="H5" s="18">
        <f>SUMIF(每日计划!$B$4:$B$367,A5,每日计划!$I$4:$I$367)</f>
        <v>0</v>
      </c>
      <c r="I5" s="6">
        <f>COUNTIFS(每日计划!$B$4:$B$367,A5,每日计划!$J$4:$J$367,"已完成")</f>
        <v>0</v>
      </c>
      <c r="J5" s="6">
        <f t="shared" si="0"/>
        <v>7</v>
      </c>
      <c r="K5" s="19">
        <f t="shared" si="1"/>
        <v>0</v>
      </c>
      <c r="L5" s="20"/>
      <c r="M5" s="20" t="s">
        <v>60</v>
      </c>
    </row>
    <row r="6" ht="42" customHeight="1" spans="1:13">
      <c r="A6" s="6">
        <v>3</v>
      </c>
      <c r="B6" s="17">
        <v>46251</v>
      </c>
      <c r="C6" s="17">
        <v>46257</v>
      </c>
      <c r="D6" s="6" t="s">
        <v>30</v>
      </c>
      <c r="E6" s="6" t="s">
        <v>84</v>
      </c>
      <c r="F6" s="6" t="s">
        <v>494</v>
      </c>
      <c r="G6" s="18">
        <f>SUMIF(每日计划!$B$4:$B$367,A6,每日计划!$H$4:$H$367)</f>
        <v>12.5</v>
      </c>
      <c r="H6" s="18">
        <f>SUMIF(每日计划!$B$4:$B$367,A6,每日计划!$I$4:$I$367)</f>
        <v>0</v>
      </c>
      <c r="I6" s="6">
        <f>COUNTIFS(每日计划!$B$4:$B$367,A6,每日计划!$J$4:$J$367,"已完成")</f>
        <v>0</v>
      </c>
      <c r="J6" s="6">
        <f t="shared" si="0"/>
        <v>7</v>
      </c>
      <c r="K6" s="19">
        <f t="shared" si="1"/>
        <v>0</v>
      </c>
      <c r="L6" s="20"/>
      <c r="M6" s="20" t="s">
        <v>60</v>
      </c>
    </row>
    <row r="7" ht="42" customHeight="1" spans="1:13">
      <c r="A7" s="6">
        <v>4</v>
      </c>
      <c r="B7" s="17">
        <v>46258</v>
      </c>
      <c r="C7" s="17">
        <v>46264</v>
      </c>
      <c r="D7" s="6" t="s">
        <v>30</v>
      </c>
      <c r="E7" s="6" t="s">
        <v>92</v>
      </c>
      <c r="F7" s="6" t="s">
        <v>495</v>
      </c>
      <c r="G7" s="18">
        <f>SUMIF(每日计划!$B$4:$B$367,A7,每日计划!$H$4:$H$367)</f>
        <v>12.5</v>
      </c>
      <c r="H7" s="18">
        <f>SUMIF(每日计划!$B$4:$B$367,A7,每日计划!$I$4:$I$367)</f>
        <v>0</v>
      </c>
      <c r="I7" s="6">
        <f>COUNTIFS(每日计划!$B$4:$B$367,A7,每日计划!$J$4:$J$367,"已完成")</f>
        <v>0</v>
      </c>
      <c r="J7" s="6">
        <f t="shared" si="0"/>
        <v>7</v>
      </c>
      <c r="K7" s="19">
        <f t="shared" si="1"/>
        <v>0</v>
      </c>
      <c r="L7" s="20"/>
      <c r="M7" s="20" t="s">
        <v>60</v>
      </c>
    </row>
    <row r="8" ht="42" customHeight="1" spans="1:13">
      <c r="A8" s="6">
        <v>5</v>
      </c>
      <c r="B8" s="17">
        <v>46265</v>
      </c>
      <c r="C8" s="17">
        <v>46271</v>
      </c>
      <c r="D8" s="6" t="s">
        <v>30</v>
      </c>
      <c r="E8" s="6" t="s">
        <v>100</v>
      </c>
      <c r="F8" s="6" t="s">
        <v>496</v>
      </c>
      <c r="G8" s="18">
        <f>SUMIF(每日计划!$B$4:$B$367,A8,每日计划!$H$4:$H$367)</f>
        <v>12.5</v>
      </c>
      <c r="H8" s="18">
        <f>SUMIF(每日计划!$B$4:$B$367,A8,每日计划!$I$4:$I$367)</f>
        <v>0</v>
      </c>
      <c r="I8" s="6">
        <f>COUNTIFS(每日计划!$B$4:$B$367,A8,每日计划!$J$4:$J$367,"已完成")</f>
        <v>0</v>
      </c>
      <c r="J8" s="6">
        <f t="shared" si="0"/>
        <v>7</v>
      </c>
      <c r="K8" s="19">
        <f t="shared" si="1"/>
        <v>0</v>
      </c>
      <c r="L8" s="20"/>
      <c r="M8" s="20" t="s">
        <v>60</v>
      </c>
    </row>
    <row r="9" ht="42" customHeight="1" spans="1:13">
      <c r="A9" s="6">
        <v>6</v>
      </c>
      <c r="B9" s="17">
        <v>46272</v>
      </c>
      <c r="C9" s="17">
        <v>46278</v>
      </c>
      <c r="D9" s="6" t="s">
        <v>30</v>
      </c>
      <c r="E9" s="6" t="s">
        <v>108</v>
      </c>
      <c r="F9" s="6" t="s">
        <v>497</v>
      </c>
      <c r="G9" s="18">
        <f>SUMIF(每日计划!$B$4:$B$367,A9,每日计划!$H$4:$H$367)</f>
        <v>12.5</v>
      </c>
      <c r="H9" s="18">
        <f>SUMIF(每日计划!$B$4:$B$367,A9,每日计划!$I$4:$I$367)</f>
        <v>0</v>
      </c>
      <c r="I9" s="6">
        <f>COUNTIFS(每日计划!$B$4:$B$367,A9,每日计划!$J$4:$J$367,"已完成")</f>
        <v>0</v>
      </c>
      <c r="J9" s="6">
        <f t="shared" si="0"/>
        <v>7</v>
      </c>
      <c r="K9" s="19">
        <f t="shared" si="1"/>
        <v>0</v>
      </c>
      <c r="L9" s="20"/>
      <c r="M9" s="20" t="s">
        <v>60</v>
      </c>
    </row>
    <row r="10" ht="42" customHeight="1" spans="1:13">
      <c r="A10" s="6">
        <v>7</v>
      </c>
      <c r="B10" s="17">
        <v>46279</v>
      </c>
      <c r="C10" s="17">
        <v>46285</v>
      </c>
      <c r="D10" s="6" t="s">
        <v>30</v>
      </c>
      <c r="E10" s="6" t="s">
        <v>116</v>
      </c>
      <c r="F10" s="6" t="s">
        <v>498</v>
      </c>
      <c r="G10" s="18">
        <f>SUMIF(每日计划!$B$4:$B$367,A10,每日计划!$H$4:$H$367)</f>
        <v>12.5</v>
      </c>
      <c r="H10" s="18">
        <f>SUMIF(每日计划!$B$4:$B$367,A10,每日计划!$I$4:$I$367)</f>
        <v>0</v>
      </c>
      <c r="I10" s="6">
        <f>COUNTIFS(每日计划!$B$4:$B$367,A10,每日计划!$J$4:$J$367,"已完成")</f>
        <v>0</v>
      </c>
      <c r="J10" s="6">
        <f t="shared" si="0"/>
        <v>7</v>
      </c>
      <c r="K10" s="19">
        <f t="shared" si="1"/>
        <v>0</v>
      </c>
      <c r="L10" s="20"/>
      <c r="M10" s="20" t="s">
        <v>60</v>
      </c>
    </row>
    <row r="11" ht="42" customHeight="1" spans="1:13">
      <c r="A11" s="6">
        <v>8</v>
      </c>
      <c r="B11" s="17">
        <v>46286</v>
      </c>
      <c r="C11" s="17">
        <v>46292</v>
      </c>
      <c r="D11" s="6" t="s">
        <v>30</v>
      </c>
      <c r="E11" s="6" t="s">
        <v>124</v>
      </c>
      <c r="F11" s="6" t="s">
        <v>499</v>
      </c>
      <c r="G11" s="18">
        <f>SUMIF(每日计划!$B$4:$B$367,A11,每日计划!$H$4:$H$367)</f>
        <v>12.5</v>
      </c>
      <c r="H11" s="18">
        <f>SUMIF(每日计划!$B$4:$B$367,A11,每日计划!$I$4:$I$367)</f>
        <v>0</v>
      </c>
      <c r="I11" s="6">
        <f>COUNTIFS(每日计划!$B$4:$B$367,A11,每日计划!$J$4:$J$367,"已完成")</f>
        <v>0</v>
      </c>
      <c r="J11" s="6">
        <f t="shared" si="0"/>
        <v>7</v>
      </c>
      <c r="K11" s="19">
        <f t="shared" si="1"/>
        <v>0</v>
      </c>
      <c r="L11" s="20"/>
      <c r="M11" s="20" t="s">
        <v>60</v>
      </c>
    </row>
    <row r="12" ht="42" customHeight="1" spans="1:13">
      <c r="A12" s="6">
        <v>9</v>
      </c>
      <c r="B12" s="17">
        <v>46293</v>
      </c>
      <c r="C12" s="17">
        <v>46299</v>
      </c>
      <c r="D12" s="6" t="s">
        <v>30</v>
      </c>
      <c r="E12" s="6" t="s">
        <v>132</v>
      </c>
      <c r="F12" s="6" t="s">
        <v>500</v>
      </c>
      <c r="G12" s="18">
        <f>SUMIF(每日计划!$B$4:$B$367,A12,每日计划!$H$4:$H$367)</f>
        <v>12.5</v>
      </c>
      <c r="H12" s="18">
        <f>SUMIF(每日计划!$B$4:$B$367,A12,每日计划!$I$4:$I$367)</f>
        <v>0</v>
      </c>
      <c r="I12" s="6">
        <f>COUNTIFS(每日计划!$B$4:$B$367,A12,每日计划!$J$4:$J$367,"已完成")</f>
        <v>0</v>
      </c>
      <c r="J12" s="6">
        <f t="shared" si="0"/>
        <v>7</v>
      </c>
      <c r="K12" s="19">
        <f t="shared" si="1"/>
        <v>0</v>
      </c>
      <c r="L12" s="20"/>
      <c r="M12" s="20" t="s">
        <v>60</v>
      </c>
    </row>
    <row r="13" ht="42" customHeight="1" spans="1:13">
      <c r="A13" s="6">
        <v>10</v>
      </c>
      <c r="B13" s="17">
        <v>46300</v>
      </c>
      <c r="C13" s="17">
        <v>46306</v>
      </c>
      <c r="D13" s="6" t="s">
        <v>30</v>
      </c>
      <c r="E13" s="6" t="s">
        <v>140</v>
      </c>
      <c r="F13" s="6" t="s">
        <v>501</v>
      </c>
      <c r="G13" s="18">
        <f>SUMIF(每日计划!$B$4:$B$367,A13,每日计划!$H$4:$H$367)</f>
        <v>12.5</v>
      </c>
      <c r="H13" s="18">
        <f>SUMIF(每日计划!$B$4:$B$367,A13,每日计划!$I$4:$I$367)</f>
        <v>0</v>
      </c>
      <c r="I13" s="6">
        <f>COUNTIFS(每日计划!$B$4:$B$367,A13,每日计划!$J$4:$J$367,"已完成")</f>
        <v>0</v>
      </c>
      <c r="J13" s="6">
        <f t="shared" si="0"/>
        <v>7</v>
      </c>
      <c r="K13" s="19">
        <f t="shared" si="1"/>
        <v>0</v>
      </c>
      <c r="L13" s="20"/>
      <c r="M13" s="20" t="s">
        <v>60</v>
      </c>
    </row>
    <row r="14" ht="42" customHeight="1" spans="1:13">
      <c r="A14" s="6">
        <v>11</v>
      </c>
      <c r="B14" s="17">
        <v>46307</v>
      </c>
      <c r="C14" s="17">
        <v>46313</v>
      </c>
      <c r="D14" s="6" t="s">
        <v>30</v>
      </c>
      <c r="E14" s="6" t="s">
        <v>148</v>
      </c>
      <c r="F14" s="6" t="s">
        <v>502</v>
      </c>
      <c r="G14" s="18">
        <f>SUMIF(每日计划!$B$4:$B$367,A14,每日计划!$H$4:$H$367)</f>
        <v>12.5</v>
      </c>
      <c r="H14" s="18">
        <f>SUMIF(每日计划!$B$4:$B$367,A14,每日计划!$I$4:$I$367)</f>
        <v>0</v>
      </c>
      <c r="I14" s="6">
        <f>COUNTIFS(每日计划!$B$4:$B$367,A14,每日计划!$J$4:$J$367,"已完成")</f>
        <v>0</v>
      </c>
      <c r="J14" s="6">
        <f t="shared" si="0"/>
        <v>7</v>
      </c>
      <c r="K14" s="19">
        <f t="shared" si="1"/>
        <v>0</v>
      </c>
      <c r="L14" s="20"/>
      <c r="M14" s="20" t="s">
        <v>60</v>
      </c>
    </row>
    <row r="15" ht="42" customHeight="1" spans="1:13">
      <c r="A15" s="6">
        <v>12</v>
      </c>
      <c r="B15" s="17">
        <v>46314</v>
      </c>
      <c r="C15" s="17">
        <v>46320</v>
      </c>
      <c r="D15" s="6" t="s">
        <v>30</v>
      </c>
      <c r="E15" s="6" t="s">
        <v>156</v>
      </c>
      <c r="F15" s="6" t="s">
        <v>503</v>
      </c>
      <c r="G15" s="18">
        <f>SUMIF(每日计划!$B$4:$B$367,A15,每日计划!$H$4:$H$367)</f>
        <v>12.5</v>
      </c>
      <c r="H15" s="18">
        <f>SUMIF(每日计划!$B$4:$B$367,A15,每日计划!$I$4:$I$367)</f>
        <v>0</v>
      </c>
      <c r="I15" s="6">
        <f>COUNTIFS(每日计划!$B$4:$B$367,A15,每日计划!$J$4:$J$367,"已完成")</f>
        <v>0</v>
      </c>
      <c r="J15" s="6">
        <f t="shared" si="0"/>
        <v>7</v>
      </c>
      <c r="K15" s="19">
        <f t="shared" si="1"/>
        <v>0</v>
      </c>
      <c r="L15" s="20"/>
      <c r="M15" s="20" t="s">
        <v>60</v>
      </c>
    </row>
    <row r="16" ht="42" customHeight="1" spans="1:13">
      <c r="A16" s="6">
        <v>13</v>
      </c>
      <c r="B16" s="17">
        <v>46321</v>
      </c>
      <c r="C16" s="17">
        <v>46327</v>
      </c>
      <c r="D16" s="6" t="s">
        <v>30</v>
      </c>
      <c r="E16" s="6" t="s">
        <v>164</v>
      </c>
      <c r="F16" s="6" t="s">
        <v>504</v>
      </c>
      <c r="G16" s="18">
        <f>SUMIF(每日计划!$B$4:$B$367,A16,每日计划!$H$4:$H$367)</f>
        <v>12.5</v>
      </c>
      <c r="H16" s="18">
        <f>SUMIF(每日计划!$B$4:$B$367,A16,每日计划!$I$4:$I$367)</f>
        <v>0</v>
      </c>
      <c r="I16" s="6">
        <f>COUNTIFS(每日计划!$B$4:$B$367,A16,每日计划!$J$4:$J$367,"已完成")</f>
        <v>0</v>
      </c>
      <c r="J16" s="6">
        <f t="shared" si="0"/>
        <v>7</v>
      </c>
      <c r="K16" s="19">
        <f t="shared" si="1"/>
        <v>0</v>
      </c>
      <c r="L16" s="20"/>
      <c r="M16" s="20" t="s">
        <v>60</v>
      </c>
    </row>
    <row r="17" ht="42" customHeight="1" spans="1:13">
      <c r="A17" s="6">
        <v>14</v>
      </c>
      <c r="B17" s="17">
        <v>46328</v>
      </c>
      <c r="C17" s="17">
        <v>46334</v>
      </c>
      <c r="D17" s="6" t="s">
        <v>31</v>
      </c>
      <c r="E17" s="6" t="s">
        <v>172</v>
      </c>
      <c r="F17" s="6" t="s">
        <v>505</v>
      </c>
      <c r="G17" s="18">
        <f>SUMIF(每日计划!$B$4:$B$367,A17,每日计划!$H$4:$H$367)</f>
        <v>12.5</v>
      </c>
      <c r="H17" s="18">
        <f>SUMIF(每日计划!$B$4:$B$367,A17,每日计划!$I$4:$I$367)</f>
        <v>0</v>
      </c>
      <c r="I17" s="6">
        <f>COUNTIFS(每日计划!$B$4:$B$367,A17,每日计划!$J$4:$J$367,"已完成")</f>
        <v>0</v>
      </c>
      <c r="J17" s="6">
        <f t="shared" si="0"/>
        <v>7</v>
      </c>
      <c r="K17" s="19">
        <f t="shared" si="1"/>
        <v>0</v>
      </c>
      <c r="L17" s="20"/>
      <c r="M17" s="20" t="s">
        <v>60</v>
      </c>
    </row>
    <row r="18" ht="42" customHeight="1" spans="1:13">
      <c r="A18" s="6">
        <v>15</v>
      </c>
      <c r="B18" s="17">
        <v>46335</v>
      </c>
      <c r="C18" s="17">
        <v>46341</v>
      </c>
      <c r="D18" s="6" t="s">
        <v>31</v>
      </c>
      <c r="E18" s="6" t="s">
        <v>180</v>
      </c>
      <c r="F18" s="6" t="s">
        <v>506</v>
      </c>
      <c r="G18" s="18">
        <f>SUMIF(每日计划!$B$4:$B$367,A18,每日计划!$H$4:$H$367)</f>
        <v>12.5</v>
      </c>
      <c r="H18" s="18">
        <f>SUMIF(每日计划!$B$4:$B$367,A18,每日计划!$I$4:$I$367)</f>
        <v>0</v>
      </c>
      <c r="I18" s="6">
        <f>COUNTIFS(每日计划!$B$4:$B$367,A18,每日计划!$J$4:$J$367,"已完成")</f>
        <v>0</v>
      </c>
      <c r="J18" s="6">
        <f t="shared" si="0"/>
        <v>7</v>
      </c>
      <c r="K18" s="19">
        <f t="shared" si="1"/>
        <v>0</v>
      </c>
      <c r="L18" s="20"/>
      <c r="M18" s="20" t="s">
        <v>60</v>
      </c>
    </row>
    <row r="19" ht="42" customHeight="1" spans="1:13">
      <c r="A19" s="6">
        <v>16</v>
      </c>
      <c r="B19" s="17">
        <v>46342</v>
      </c>
      <c r="C19" s="17">
        <v>46348</v>
      </c>
      <c r="D19" s="6" t="s">
        <v>31</v>
      </c>
      <c r="E19" s="6" t="s">
        <v>188</v>
      </c>
      <c r="F19" s="6" t="s">
        <v>507</v>
      </c>
      <c r="G19" s="18">
        <f>SUMIF(每日计划!$B$4:$B$367,A19,每日计划!$H$4:$H$367)</f>
        <v>12.5</v>
      </c>
      <c r="H19" s="18">
        <f>SUMIF(每日计划!$B$4:$B$367,A19,每日计划!$I$4:$I$367)</f>
        <v>0</v>
      </c>
      <c r="I19" s="6">
        <f>COUNTIFS(每日计划!$B$4:$B$367,A19,每日计划!$J$4:$J$367,"已完成")</f>
        <v>0</v>
      </c>
      <c r="J19" s="6">
        <f t="shared" si="0"/>
        <v>7</v>
      </c>
      <c r="K19" s="19">
        <f t="shared" si="1"/>
        <v>0</v>
      </c>
      <c r="L19" s="20"/>
      <c r="M19" s="20" t="s">
        <v>60</v>
      </c>
    </row>
    <row r="20" ht="42" customHeight="1" spans="1:13">
      <c r="A20" s="6">
        <v>17</v>
      </c>
      <c r="B20" s="17">
        <v>46349</v>
      </c>
      <c r="C20" s="17">
        <v>46355</v>
      </c>
      <c r="D20" s="6" t="s">
        <v>31</v>
      </c>
      <c r="E20" s="6" t="s">
        <v>196</v>
      </c>
      <c r="F20" s="6" t="s">
        <v>508</v>
      </c>
      <c r="G20" s="18">
        <f>SUMIF(每日计划!$B$4:$B$367,A20,每日计划!$H$4:$H$367)</f>
        <v>12.5</v>
      </c>
      <c r="H20" s="18">
        <f>SUMIF(每日计划!$B$4:$B$367,A20,每日计划!$I$4:$I$367)</f>
        <v>0</v>
      </c>
      <c r="I20" s="6">
        <f>COUNTIFS(每日计划!$B$4:$B$367,A20,每日计划!$J$4:$J$367,"已完成")</f>
        <v>0</v>
      </c>
      <c r="J20" s="6">
        <f t="shared" si="0"/>
        <v>7</v>
      </c>
      <c r="K20" s="19">
        <f t="shared" si="1"/>
        <v>0</v>
      </c>
      <c r="L20" s="20"/>
      <c r="M20" s="20" t="s">
        <v>60</v>
      </c>
    </row>
    <row r="21" ht="42" customHeight="1" spans="1:13">
      <c r="A21" s="6">
        <v>18</v>
      </c>
      <c r="B21" s="17">
        <v>46356</v>
      </c>
      <c r="C21" s="17">
        <v>46362</v>
      </c>
      <c r="D21" s="6" t="s">
        <v>31</v>
      </c>
      <c r="E21" s="6" t="s">
        <v>204</v>
      </c>
      <c r="F21" s="6" t="s">
        <v>509</v>
      </c>
      <c r="G21" s="18">
        <f>SUMIF(每日计划!$B$4:$B$367,A21,每日计划!$H$4:$H$367)</f>
        <v>12.5</v>
      </c>
      <c r="H21" s="18">
        <f>SUMIF(每日计划!$B$4:$B$367,A21,每日计划!$I$4:$I$367)</f>
        <v>0</v>
      </c>
      <c r="I21" s="6">
        <f>COUNTIFS(每日计划!$B$4:$B$367,A21,每日计划!$J$4:$J$367,"已完成")</f>
        <v>0</v>
      </c>
      <c r="J21" s="6">
        <f t="shared" si="0"/>
        <v>7</v>
      </c>
      <c r="K21" s="19">
        <f t="shared" si="1"/>
        <v>0</v>
      </c>
      <c r="L21" s="20"/>
      <c r="M21" s="20" t="s">
        <v>60</v>
      </c>
    </row>
    <row r="22" ht="42" customHeight="1" spans="1:13">
      <c r="A22" s="6">
        <v>19</v>
      </c>
      <c r="B22" s="17">
        <v>46363</v>
      </c>
      <c r="C22" s="17">
        <v>46369</v>
      </c>
      <c r="D22" s="6" t="s">
        <v>31</v>
      </c>
      <c r="E22" s="6" t="s">
        <v>212</v>
      </c>
      <c r="F22" s="6" t="s">
        <v>510</v>
      </c>
      <c r="G22" s="18">
        <f>SUMIF(每日计划!$B$4:$B$367,A22,每日计划!$H$4:$H$367)</f>
        <v>12.5</v>
      </c>
      <c r="H22" s="18">
        <f>SUMIF(每日计划!$B$4:$B$367,A22,每日计划!$I$4:$I$367)</f>
        <v>0</v>
      </c>
      <c r="I22" s="6">
        <f>COUNTIFS(每日计划!$B$4:$B$367,A22,每日计划!$J$4:$J$367,"已完成")</f>
        <v>0</v>
      </c>
      <c r="J22" s="6">
        <f t="shared" si="0"/>
        <v>7</v>
      </c>
      <c r="K22" s="19">
        <f t="shared" si="1"/>
        <v>0</v>
      </c>
      <c r="L22" s="20"/>
      <c r="M22" s="20" t="s">
        <v>60</v>
      </c>
    </row>
    <row r="23" ht="42" customHeight="1" spans="1:13">
      <c r="A23" s="6">
        <v>20</v>
      </c>
      <c r="B23" s="17">
        <v>46370</v>
      </c>
      <c r="C23" s="17">
        <v>46376</v>
      </c>
      <c r="D23" s="6" t="s">
        <v>31</v>
      </c>
      <c r="E23" s="6" t="s">
        <v>220</v>
      </c>
      <c r="F23" s="6" t="s">
        <v>511</v>
      </c>
      <c r="G23" s="18">
        <f>SUMIF(每日计划!$B$4:$B$367,A23,每日计划!$H$4:$H$367)</f>
        <v>12.5</v>
      </c>
      <c r="H23" s="18">
        <f>SUMIF(每日计划!$B$4:$B$367,A23,每日计划!$I$4:$I$367)</f>
        <v>0</v>
      </c>
      <c r="I23" s="6">
        <f>COUNTIFS(每日计划!$B$4:$B$367,A23,每日计划!$J$4:$J$367,"已完成")</f>
        <v>0</v>
      </c>
      <c r="J23" s="6">
        <f t="shared" si="0"/>
        <v>7</v>
      </c>
      <c r="K23" s="19">
        <f t="shared" si="1"/>
        <v>0</v>
      </c>
      <c r="L23" s="20"/>
      <c r="M23" s="20" t="s">
        <v>60</v>
      </c>
    </row>
    <row r="24" ht="42" customHeight="1" spans="1:13">
      <c r="A24" s="6">
        <v>21</v>
      </c>
      <c r="B24" s="17">
        <v>46377</v>
      </c>
      <c r="C24" s="17">
        <v>46383</v>
      </c>
      <c r="D24" s="6" t="s">
        <v>31</v>
      </c>
      <c r="E24" s="6" t="s">
        <v>228</v>
      </c>
      <c r="F24" s="6" t="s">
        <v>512</v>
      </c>
      <c r="G24" s="18">
        <f>SUMIF(每日计划!$B$4:$B$367,A24,每日计划!$H$4:$H$367)</f>
        <v>12.5</v>
      </c>
      <c r="H24" s="18">
        <f>SUMIF(每日计划!$B$4:$B$367,A24,每日计划!$I$4:$I$367)</f>
        <v>0</v>
      </c>
      <c r="I24" s="6">
        <f>COUNTIFS(每日计划!$B$4:$B$367,A24,每日计划!$J$4:$J$367,"已完成")</f>
        <v>0</v>
      </c>
      <c r="J24" s="6">
        <f t="shared" si="0"/>
        <v>7</v>
      </c>
      <c r="K24" s="19">
        <f t="shared" si="1"/>
        <v>0</v>
      </c>
      <c r="L24" s="20"/>
      <c r="M24" s="20" t="s">
        <v>60</v>
      </c>
    </row>
    <row r="25" ht="42" customHeight="1" spans="1:13">
      <c r="A25" s="6">
        <v>22</v>
      </c>
      <c r="B25" s="17">
        <v>46384</v>
      </c>
      <c r="C25" s="17">
        <v>46390</v>
      </c>
      <c r="D25" s="6" t="s">
        <v>31</v>
      </c>
      <c r="E25" s="6" t="s">
        <v>236</v>
      </c>
      <c r="F25" s="6" t="s">
        <v>513</v>
      </c>
      <c r="G25" s="18">
        <f>SUMIF(每日计划!$B$4:$B$367,A25,每日计划!$H$4:$H$367)</f>
        <v>12.5</v>
      </c>
      <c r="H25" s="18">
        <f>SUMIF(每日计划!$B$4:$B$367,A25,每日计划!$I$4:$I$367)</f>
        <v>0</v>
      </c>
      <c r="I25" s="6">
        <f>COUNTIFS(每日计划!$B$4:$B$367,A25,每日计划!$J$4:$J$367,"已完成")</f>
        <v>0</v>
      </c>
      <c r="J25" s="6">
        <f t="shared" si="0"/>
        <v>7</v>
      </c>
      <c r="K25" s="19">
        <f t="shared" si="1"/>
        <v>0</v>
      </c>
      <c r="L25" s="20"/>
      <c r="M25" s="20" t="s">
        <v>60</v>
      </c>
    </row>
    <row r="26" ht="42" customHeight="1" spans="1:13">
      <c r="A26" s="6">
        <v>23</v>
      </c>
      <c r="B26" s="17">
        <v>46391</v>
      </c>
      <c r="C26" s="17">
        <v>46397</v>
      </c>
      <c r="D26" s="6" t="s">
        <v>31</v>
      </c>
      <c r="E26" s="6" t="s">
        <v>244</v>
      </c>
      <c r="F26" s="6" t="s">
        <v>514</v>
      </c>
      <c r="G26" s="18">
        <f>SUMIF(每日计划!$B$4:$B$367,A26,每日计划!$H$4:$H$367)</f>
        <v>12.5</v>
      </c>
      <c r="H26" s="18">
        <f>SUMIF(每日计划!$B$4:$B$367,A26,每日计划!$I$4:$I$367)</f>
        <v>0</v>
      </c>
      <c r="I26" s="6">
        <f>COUNTIFS(每日计划!$B$4:$B$367,A26,每日计划!$J$4:$J$367,"已完成")</f>
        <v>0</v>
      </c>
      <c r="J26" s="6">
        <f t="shared" si="0"/>
        <v>7</v>
      </c>
      <c r="K26" s="19">
        <f t="shared" si="1"/>
        <v>0</v>
      </c>
      <c r="L26" s="20"/>
      <c r="M26" s="20" t="s">
        <v>60</v>
      </c>
    </row>
    <row r="27" ht="42" customHeight="1" spans="1:13">
      <c r="A27" s="6">
        <v>24</v>
      </c>
      <c r="B27" s="17">
        <v>46398</v>
      </c>
      <c r="C27" s="17">
        <v>46404</v>
      </c>
      <c r="D27" s="6" t="s">
        <v>31</v>
      </c>
      <c r="E27" s="6" t="s">
        <v>252</v>
      </c>
      <c r="F27" s="6" t="s">
        <v>515</v>
      </c>
      <c r="G27" s="18">
        <f>SUMIF(每日计划!$B$4:$B$367,A27,每日计划!$H$4:$H$367)</f>
        <v>12.5</v>
      </c>
      <c r="H27" s="18">
        <f>SUMIF(每日计划!$B$4:$B$367,A27,每日计划!$I$4:$I$367)</f>
        <v>0</v>
      </c>
      <c r="I27" s="6">
        <f>COUNTIFS(每日计划!$B$4:$B$367,A27,每日计划!$J$4:$J$367,"已完成")</f>
        <v>0</v>
      </c>
      <c r="J27" s="6">
        <f t="shared" si="0"/>
        <v>7</v>
      </c>
      <c r="K27" s="19">
        <f t="shared" si="1"/>
        <v>0</v>
      </c>
      <c r="L27" s="20"/>
      <c r="M27" s="20" t="s">
        <v>60</v>
      </c>
    </row>
    <row r="28" ht="42" customHeight="1" spans="1:13">
      <c r="A28" s="6">
        <v>25</v>
      </c>
      <c r="B28" s="17">
        <v>46405</v>
      </c>
      <c r="C28" s="17">
        <v>46411</v>
      </c>
      <c r="D28" s="6" t="s">
        <v>31</v>
      </c>
      <c r="E28" s="6" t="s">
        <v>260</v>
      </c>
      <c r="F28" s="6" t="s">
        <v>516</v>
      </c>
      <c r="G28" s="18">
        <f>SUMIF(每日计划!$B$4:$B$367,A28,每日计划!$H$4:$H$367)</f>
        <v>12.5</v>
      </c>
      <c r="H28" s="18">
        <f>SUMIF(每日计划!$B$4:$B$367,A28,每日计划!$I$4:$I$367)</f>
        <v>0</v>
      </c>
      <c r="I28" s="6">
        <f>COUNTIFS(每日计划!$B$4:$B$367,A28,每日计划!$J$4:$J$367,"已完成")</f>
        <v>0</v>
      </c>
      <c r="J28" s="6">
        <f t="shared" si="0"/>
        <v>7</v>
      </c>
      <c r="K28" s="19">
        <f t="shared" si="1"/>
        <v>0</v>
      </c>
      <c r="L28" s="20"/>
      <c r="M28" s="20" t="s">
        <v>60</v>
      </c>
    </row>
    <row r="29" ht="42" customHeight="1" spans="1:13">
      <c r="A29" s="6">
        <v>26</v>
      </c>
      <c r="B29" s="17">
        <v>46412</v>
      </c>
      <c r="C29" s="17">
        <v>46418</v>
      </c>
      <c r="D29" s="6" t="s">
        <v>31</v>
      </c>
      <c r="E29" s="6" t="s">
        <v>268</v>
      </c>
      <c r="F29" s="6" t="s">
        <v>517</v>
      </c>
      <c r="G29" s="18">
        <f>SUMIF(每日计划!$B$4:$B$367,A29,每日计划!$H$4:$H$367)</f>
        <v>12.5</v>
      </c>
      <c r="H29" s="18">
        <f>SUMIF(每日计划!$B$4:$B$367,A29,每日计划!$I$4:$I$367)</f>
        <v>0</v>
      </c>
      <c r="I29" s="6">
        <f>COUNTIFS(每日计划!$B$4:$B$367,A29,每日计划!$J$4:$J$367,"已完成")</f>
        <v>0</v>
      </c>
      <c r="J29" s="6">
        <f t="shared" si="0"/>
        <v>7</v>
      </c>
      <c r="K29" s="19">
        <f t="shared" si="1"/>
        <v>0</v>
      </c>
      <c r="L29" s="20"/>
      <c r="M29" s="20" t="s">
        <v>60</v>
      </c>
    </row>
    <row r="30" ht="42" customHeight="1" spans="1:13">
      <c r="A30" s="6">
        <v>27</v>
      </c>
      <c r="B30" s="17">
        <v>46419</v>
      </c>
      <c r="C30" s="17">
        <v>46425</v>
      </c>
      <c r="D30" s="6" t="s">
        <v>32</v>
      </c>
      <c r="E30" s="6" t="s">
        <v>276</v>
      </c>
      <c r="F30" s="6" t="s">
        <v>518</v>
      </c>
      <c r="G30" s="18">
        <f>SUMIF(每日计划!$B$4:$B$367,A30,每日计划!$H$4:$H$367)</f>
        <v>12.5</v>
      </c>
      <c r="H30" s="18">
        <f>SUMIF(每日计划!$B$4:$B$367,A30,每日计划!$I$4:$I$367)</f>
        <v>0</v>
      </c>
      <c r="I30" s="6">
        <f>COUNTIFS(每日计划!$B$4:$B$367,A30,每日计划!$J$4:$J$367,"已完成")</f>
        <v>0</v>
      </c>
      <c r="J30" s="6">
        <f t="shared" si="0"/>
        <v>7</v>
      </c>
      <c r="K30" s="19">
        <f t="shared" si="1"/>
        <v>0</v>
      </c>
      <c r="L30" s="20"/>
      <c r="M30" s="20" t="s">
        <v>60</v>
      </c>
    </row>
    <row r="31" ht="42" customHeight="1" spans="1:13">
      <c r="A31" s="6">
        <v>28</v>
      </c>
      <c r="B31" s="17">
        <v>46426</v>
      </c>
      <c r="C31" s="17">
        <v>46432</v>
      </c>
      <c r="D31" s="6" t="s">
        <v>32</v>
      </c>
      <c r="E31" s="6" t="s">
        <v>284</v>
      </c>
      <c r="F31" s="6" t="s">
        <v>519</v>
      </c>
      <c r="G31" s="18">
        <f>SUMIF(每日计划!$B$4:$B$367,A31,每日计划!$H$4:$H$367)</f>
        <v>12.5</v>
      </c>
      <c r="H31" s="18">
        <f>SUMIF(每日计划!$B$4:$B$367,A31,每日计划!$I$4:$I$367)</f>
        <v>0</v>
      </c>
      <c r="I31" s="6">
        <f>COUNTIFS(每日计划!$B$4:$B$367,A31,每日计划!$J$4:$J$367,"已完成")</f>
        <v>0</v>
      </c>
      <c r="J31" s="6">
        <f t="shared" si="0"/>
        <v>7</v>
      </c>
      <c r="K31" s="19">
        <f t="shared" si="1"/>
        <v>0</v>
      </c>
      <c r="L31" s="20"/>
      <c r="M31" s="20" t="s">
        <v>60</v>
      </c>
    </row>
    <row r="32" ht="42" customHeight="1" spans="1:13">
      <c r="A32" s="6">
        <v>29</v>
      </c>
      <c r="B32" s="17">
        <v>46433</v>
      </c>
      <c r="C32" s="17">
        <v>46439</v>
      </c>
      <c r="D32" s="6" t="s">
        <v>32</v>
      </c>
      <c r="E32" s="6" t="s">
        <v>292</v>
      </c>
      <c r="F32" s="6" t="s">
        <v>520</v>
      </c>
      <c r="G32" s="18">
        <f>SUMIF(每日计划!$B$4:$B$367,A32,每日计划!$H$4:$H$367)</f>
        <v>12.5</v>
      </c>
      <c r="H32" s="18">
        <f>SUMIF(每日计划!$B$4:$B$367,A32,每日计划!$I$4:$I$367)</f>
        <v>0</v>
      </c>
      <c r="I32" s="6">
        <f>COUNTIFS(每日计划!$B$4:$B$367,A32,每日计划!$J$4:$J$367,"已完成")</f>
        <v>0</v>
      </c>
      <c r="J32" s="6">
        <f t="shared" si="0"/>
        <v>7</v>
      </c>
      <c r="K32" s="19">
        <f t="shared" si="1"/>
        <v>0</v>
      </c>
      <c r="L32" s="20"/>
      <c r="M32" s="20" t="s">
        <v>60</v>
      </c>
    </row>
    <row r="33" ht="42" customHeight="1" spans="1:13">
      <c r="A33" s="6">
        <v>30</v>
      </c>
      <c r="B33" s="17">
        <v>46440</v>
      </c>
      <c r="C33" s="17">
        <v>46446</v>
      </c>
      <c r="D33" s="6" t="s">
        <v>32</v>
      </c>
      <c r="E33" s="6" t="s">
        <v>300</v>
      </c>
      <c r="F33" s="6" t="s">
        <v>521</v>
      </c>
      <c r="G33" s="18">
        <f>SUMIF(每日计划!$B$4:$B$367,A33,每日计划!$H$4:$H$367)</f>
        <v>12.5</v>
      </c>
      <c r="H33" s="18">
        <f>SUMIF(每日计划!$B$4:$B$367,A33,每日计划!$I$4:$I$367)</f>
        <v>0</v>
      </c>
      <c r="I33" s="6">
        <f>COUNTIFS(每日计划!$B$4:$B$367,A33,每日计划!$J$4:$J$367,"已完成")</f>
        <v>0</v>
      </c>
      <c r="J33" s="6">
        <f t="shared" si="0"/>
        <v>7</v>
      </c>
      <c r="K33" s="19">
        <f t="shared" si="1"/>
        <v>0</v>
      </c>
      <c r="L33" s="20"/>
      <c r="M33" s="20" t="s">
        <v>60</v>
      </c>
    </row>
    <row r="34" ht="42" customHeight="1" spans="1:13">
      <c r="A34" s="6">
        <v>31</v>
      </c>
      <c r="B34" s="17">
        <v>46447</v>
      </c>
      <c r="C34" s="17">
        <v>46453</v>
      </c>
      <c r="D34" s="6" t="s">
        <v>32</v>
      </c>
      <c r="E34" s="6" t="s">
        <v>308</v>
      </c>
      <c r="F34" s="6" t="s">
        <v>522</v>
      </c>
      <c r="G34" s="18">
        <f>SUMIF(每日计划!$B$4:$B$367,A34,每日计划!$H$4:$H$367)</f>
        <v>12.5</v>
      </c>
      <c r="H34" s="18">
        <f>SUMIF(每日计划!$B$4:$B$367,A34,每日计划!$I$4:$I$367)</f>
        <v>0</v>
      </c>
      <c r="I34" s="6">
        <f>COUNTIFS(每日计划!$B$4:$B$367,A34,每日计划!$J$4:$J$367,"已完成")</f>
        <v>0</v>
      </c>
      <c r="J34" s="6">
        <f t="shared" si="0"/>
        <v>7</v>
      </c>
      <c r="K34" s="19">
        <f t="shared" si="1"/>
        <v>0</v>
      </c>
      <c r="L34" s="20"/>
      <c r="M34" s="20" t="s">
        <v>60</v>
      </c>
    </row>
    <row r="35" ht="42" customHeight="1" spans="1:13">
      <c r="A35" s="6">
        <v>32</v>
      </c>
      <c r="B35" s="17">
        <v>46454</v>
      </c>
      <c r="C35" s="17">
        <v>46460</v>
      </c>
      <c r="D35" s="6" t="s">
        <v>32</v>
      </c>
      <c r="E35" s="6" t="s">
        <v>316</v>
      </c>
      <c r="F35" s="6" t="s">
        <v>523</v>
      </c>
      <c r="G35" s="18">
        <f>SUMIF(每日计划!$B$4:$B$367,A35,每日计划!$H$4:$H$367)</f>
        <v>12.5</v>
      </c>
      <c r="H35" s="18">
        <f>SUMIF(每日计划!$B$4:$B$367,A35,每日计划!$I$4:$I$367)</f>
        <v>0</v>
      </c>
      <c r="I35" s="6">
        <f>COUNTIFS(每日计划!$B$4:$B$367,A35,每日计划!$J$4:$J$367,"已完成")</f>
        <v>0</v>
      </c>
      <c r="J35" s="6">
        <f t="shared" si="0"/>
        <v>7</v>
      </c>
      <c r="K35" s="19">
        <f t="shared" si="1"/>
        <v>0</v>
      </c>
      <c r="L35" s="20"/>
      <c r="M35" s="20" t="s">
        <v>60</v>
      </c>
    </row>
    <row r="36" ht="42" customHeight="1" spans="1:13">
      <c r="A36" s="6">
        <v>33</v>
      </c>
      <c r="B36" s="17">
        <v>46461</v>
      </c>
      <c r="C36" s="17">
        <v>46467</v>
      </c>
      <c r="D36" s="6" t="s">
        <v>32</v>
      </c>
      <c r="E36" s="6" t="s">
        <v>324</v>
      </c>
      <c r="F36" s="6" t="s">
        <v>524</v>
      </c>
      <c r="G36" s="18">
        <f>SUMIF(每日计划!$B$4:$B$367,A36,每日计划!$H$4:$H$367)</f>
        <v>12.5</v>
      </c>
      <c r="H36" s="18">
        <f>SUMIF(每日计划!$B$4:$B$367,A36,每日计划!$I$4:$I$367)</f>
        <v>0</v>
      </c>
      <c r="I36" s="6">
        <f>COUNTIFS(每日计划!$B$4:$B$367,A36,每日计划!$J$4:$J$367,"已完成")</f>
        <v>0</v>
      </c>
      <c r="J36" s="6">
        <f t="shared" si="0"/>
        <v>7</v>
      </c>
      <c r="K36" s="19">
        <f t="shared" si="1"/>
        <v>0</v>
      </c>
      <c r="L36" s="20"/>
      <c r="M36" s="20" t="s">
        <v>60</v>
      </c>
    </row>
    <row r="37" ht="42" customHeight="1" spans="1:13">
      <c r="A37" s="6">
        <v>34</v>
      </c>
      <c r="B37" s="17">
        <v>46468</v>
      </c>
      <c r="C37" s="17">
        <v>46474</v>
      </c>
      <c r="D37" s="6" t="s">
        <v>32</v>
      </c>
      <c r="E37" s="6" t="s">
        <v>332</v>
      </c>
      <c r="F37" s="6" t="s">
        <v>525</v>
      </c>
      <c r="G37" s="18">
        <f>SUMIF(每日计划!$B$4:$B$367,A37,每日计划!$H$4:$H$367)</f>
        <v>12.5</v>
      </c>
      <c r="H37" s="18">
        <f>SUMIF(每日计划!$B$4:$B$367,A37,每日计划!$I$4:$I$367)</f>
        <v>0</v>
      </c>
      <c r="I37" s="6">
        <f>COUNTIFS(每日计划!$B$4:$B$367,A37,每日计划!$J$4:$J$367,"已完成")</f>
        <v>0</v>
      </c>
      <c r="J37" s="6">
        <f t="shared" si="0"/>
        <v>7</v>
      </c>
      <c r="K37" s="19">
        <f t="shared" si="1"/>
        <v>0</v>
      </c>
      <c r="L37" s="20"/>
      <c r="M37" s="20" t="s">
        <v>60</v>
      </c>
    </row>
    <row r="38" ht="42" customHeight="1" spans="1:13">
      <c r="A38" s="6">
        <v>35</v>
      </c>
      <c r="B38" s="17">
        <v>46475</v>
      </c>
      <c r="C38" s="17">
        <v>46481</v>
      </c>
      <c r="D38" s="6" t="s">
        <v>32</v>
      </c>
      <c r="E38" s="6" t="s">
        <v>340</v>
      </c>
      <c r="F38" s="6" t="s">
        <v>526</v>
      </c>
      <c r="G38" s="18">
        <f>SUMIF(每日计划!$B$4:$B$367,A38,每日计划!$H$4:$H$367)</f>
        <v>12.5</v>
      </c>
      <c r="H38" s="18">
        <f>SUMIF(每日计划!$B$4:$B$367,A38,每日计划!$I$4:$I$367)</f>
        <v>0</v>
      </c>
      <c r="I38" s="6">
        <f>COUNTIFS(每日计划!$B$4:$B$367,A38,每日计划!$J$4:$J$367,"已完成")</f>
        <v>0</v>
      </c>
      <c r="J38" s="6">
        <f t="shared" si="0"/>
        <v>7</v>
      </c>
      <c r="K38" s="19">
        <f t="shared" si="1"/>
        <v>0</v>
      </c>
      <c r="L38" s="20"/>
      <c r="M38" s="20" t="s">
        <v>60</v>
      </c>
    </row>
    <row r="39" ht="42" customHeight="1" spans="1:13">
      <c r="A39" s="6">
        <v>36</v>
      </c>
      <c r="B39" s="17">
        <v>46482</v>
      </c>
      <c r="C39" s="17">
        <v>46488</v>
      </c>
      <c r="D39" s="6" t="s">
        <v>32</v>
      </c>
      <c r="E39" s="6" t="s">
        <v>348</v>
      </c>
      <c r="F39" s="6" t="s">
        <v>527</v>
      </c>
      <c r="G39" s="18">
        <f>SUMIF(每日计划!$B$4:$B$367,A39,每日计划!$H$4:$H$367)</f>
        <v>12.5</v>
      </c>
      <c r="H39" s="18">
        <f>SUMIF(每日计划!$B$4:$B$367,A39,每日计划!$I$4:$I$367)</f>
        <v>0</v>
      </c>
      <c r="I39" s="6">
        <f>COUNTIFS(每日计划!$B$4:$B$367,A39,每日计划!$J$4:$J$367,"已完成")</f>
        <v>0</v>
      </c>
      <c r="J39" s="6">
        <f t="shared" si="0"/>
        <v>7</v>
      </c>
      <c r="K39" s="19">
        <f t="shared" si="1"/>
        <v>0</v>
      </c>
      <c r="L39" s="20"/>
      <c r="M39" s="20" t="s">
        <v>60</v>
      </c>
    </row>
    <row r="40" ht="42" customHeight="1" spans="1:13">
      <c r="A40" s="6">
        <v>37</v>
      </c>
      <c r="B40" s="17">
        <v>46489</v>
      </c>
      <c r="C40" s="17">
        <v>46495</v>
      </c>
      <c r="D40" s="6" t="s">
        <v>32</v>
      </c>
      <c r="E40" s="6" t="s">
        <v>356</v>
      </c>
      <c r="F40" s="6" t="s">
        <v>528</v>
      </c>
      <c r="G40" s="18">
        <f>SUMIF(每日计划!$B$4:$B$367,A40,每日计划!$H$4:$H$367)</f>
        <v>12.5</v>
      </c>
      <c r="H40" s="18">
        <f>SUMIF(每日计划!$B$4:$B$367,A40,每日计划!$I$4:$I$367)</f>
        <v>0</v>
      </c>
      <c r="I40" s="6">
        <f>COUNTIFS(每日计划!$B$4:$B$367,A40,每日计划!$J$4:$J$367,"已完成")</f>
        <v>0</v>
      </c>
      <c r="J40" s="6">
        <f t="shared" si="0"/>
        <v>7</v>
      </c>
      <c r="K40" s="19">
        <f t="shared" si="1"/>
        <v>0</v>
      </c>
      <c r="L40" s="20"/>
      <c r="M40" s="20" t="s">
        <v>60</v>
      </c>
    </row>
    <row r="41" ht="42" customHeight="1" spans="1:13">
      <c r="A41" s="6">
        <v>38</v>
      </c>
      <c r="B41" s="17">
        <v>46496</v>
      </c>
      <c r="C41" s="17">
        <v>46502</v>
      </c>
      <c r="D41" s="6" t="s">
        <v>32</v>
      </c>
      <c r="E41" s="6" t="s">
        <v>364</v>
      </c>
      <c r="F41" s="6" t="s">
        <v>529</v>
      </c>
      <c r="G41" s="18">
        <f>SUMIF(每日计划!$B$4:$B$367,A41,每日计划!$H$4:$H$367)</f>
        <v>12.5</v>
      </c>
      <c r="H41" s="18">
        <f>SUMIF(每日计划!$B$4:$B$367,A41,每日计划!$I$4:$I$367)</f>
        <v>0</v>
      </c>
      <c r="I41" s="6">
        <f>COUNTIFS(每日计划!$B$4:$B$367,A41,每日计划!$J$4:$J$367,"已完成")</f>
        <v>0</v>
      </c>
      <c r="J41" s="6">
        <f t="shared" si="0"/>
        <v>7</v>
      </c>
      <c r="K41" s="19">
        <f t="shared" si="1"/>
        <v>0</v>
      </c>
      <c r="L41" s="20"/>
      <c r="M41" s="20" t="s">
        <v>60</v>
      </c>
    </row>
    <row r="42" ht="42" customHeight="1" spans="1:13">
      <c r="A42" s="6">
        <v>39</v>
      </c>
      <c r="B42" s="17">
        <v>46503</v>
      </c>
      <c r="C42" s="17">
        <v>46509</v>
      </c>
      <c r="D42" s="6" t="s">
        <v>32</v>
      </c>
      <c r="E42" s="6" t="s">
        <v>372</v>
      </c>
      <c r="F42" s="6" t="s">
        <v>530</v>
      </c>
      <c r="G42" s="18">
        <f>SUMIF(每日计划!$B$4:$B$367,A42,每日计划!$H$4:$H$367)</f>
        <v>12.5</v>
      </c>
      <c r="H42" s="18">
        <f>SUMIF(每日计划!$B$4:$B$367,A42,每日计划!$I$4:$I$367)</f>
        <v>0</v>
      </c>
      <c r="I42" s="6">
        <f>COUNTIFS(每日计划!$B$4:$B$367,A42,每日计划!$J$4:$J$367,"已完成")</f>
        <v>0</v>
      </c>
      <c r="J42" s="6">
        <f t="shared" si="0"/>
        <v>7</v>
      </c>
      <c r="K42" s="19">
        <f t="shared" si="1"/>
        <v>0</v>
      </c>
      <c r="L42" s="20"/>
      <c r="M42" s="20" t="s">
        <v>60</v>
      </c>
    </row>
    <row r="43" ht="42" customHeight="1" spans="1:13">
      <c r="A43" s="6">
        <v>40</v>
      </c>
      <c r="B43" s="17">
        <v>46510</v>
      </c>
      <c r="C43" s="17">
        <v>46516</v>
      </c>
      <c r="D43" s="6" t="s">
        <v>33</v>
      </c>
      <c r="E43" s="6" t="s">
        <v>380</v>
      </c>
      <c r="F43" s="6" t="s">
        <v>531</v>
      </c>
      <c r="G43" s="18">
        <f>SUMIF(每日计划!$B$4:$B$367,A43,每日计划!$H$4:$H$367)</f>
        <v>12.5</v>
      </c>
      <c r="H43" s="18">
        <f>SUMIF(每日计划!$B$4:$B$367,A43,每日计划!$I$4:$I$367)</f>
        <v>0</v>
      </c>
      <c r="I43" s="6">
        <f>COUNTIFS(每日计划!$B$4:$B$367,A43,每日计划!$J$4:$J$367,"已完成")</f>
        <v>0</v>
      </c>
      <c r="J43" s="6">
        <f t="shared" si="0"/>
        <v>7</v>
      </c>
      <c r="K43" s="19">
        <f t="shared" si="1"/>
        <v>0</v>
      </c>
      <c r="L43" s="20"/>
      <c r="M43" s="20" t="s">
        <v>60</v>
      </c>
    </row>
    <row r="44" ht="42" customHeight="1" spans="1:13">
      <c r="A44" s="6">
        <v>41</v>
      </c>
      <c r="B44" s="17">
        <v>46517</v>
      </c>
      <c r="C44" s="17">
        <v>46523</v>
      </c>
      <c r="D44" s="6" t="s">
        <v>33</v>
      </c>
      <c r="E44" s="6" t="s">
        <v>388</v>
      </c>
      <c r="F44" s="6" t="s">
        <v>532</v>
      </c>
      <c r="G44" s="18">
        <f>SUMIF(每日计划!$B$4:$B$367,A44,每日计划!$H$4:$H$367)</f>
        <v>12.5</v>
      </c>
      <c r="H44" s="18">
        <f>SUMIF(每日计划!$B$4:$B$367,A44,每日计划!$I$4:$I$367)</f>
        <v>0</v>
      </c>
      <c r="I44" s="6">
        <f>COUNTIFS(每日计划!$B$4:$B$367,A44,每日计划!$J$4:$J$367,"已完成")</f>
        <v>0</v>
      </c>
      <c r="J44" s="6">
        <f t="shared" si="0"/>
        <v>7</v>
      </c>
      <c r="K44" s="19">
        <f t="shared" si="1"/>
        <v>0</v>
      </c>
      <c r="L44" s="20"/>
      <c r="M44" s="20" t="s">
        <v>60</v>
      </c>
    </row>
    <row r="45" ht="42" customHeight="1" spans="1:13">
      <c r="A45" s="6">
        <v>42</v>
      </c>
      <c r="B45" s="17">
        <v>46524</v>
      </c>
      <c r="C45" s="17">
        <v>46530</v>
      </c>
      <c r="D45" s="6" t="s">
        <v>33</v>
      </c>
      <c r="E45" s="6" t="s">
        <v>396</v>
      </c>
      <c r="F45" s="6" t="s">
        <v>533</v>
      </c>
      <c r="G45" s="18">
        <f>SUMIF(每日计划!$B$4:$B$367,A45,每日计划!$H$4:$H$367)</f>
        <v>12.5</v>
      </c>
      <c r="H45" s="18">
        <f>SUMIF(每日计划!$B$4:$B$367,A45,每日计划!$I$4:$I$367)</f>
        <v>0</v>
      </c>
      <c r="I45" s="6">
        <f>COUNTIFS(每日计划!$B$4:$B$367,A45,每日计划!$J$4:$J$367,"已完成")</f>
        <v>0</v>
      </c>
      <c r="J45" s="6">
        <f t="shared" si="0"/>
        <v>7</v>
      </c>
      <c r="K45" s="19">
        <f t="shared" si="1"/>
        <v>0</v>
      </c>
      <c r="L45" s="20"/>
      <c r="M45" s="20" t="s">
        <v>60</v>
      </c>
    </row>
    <row r="46" ht="42" customHeight="1" spans="1:13">
      <c r="A46" s="6">
        <v>43</v>
      </c>
      <c r="B46" s="17">
        <v>46531</v>
      </c>
      <c r="C46" s="17">
        <v>46537</v>
      </c>
      <c r="D46" s="6" t="s">
        <v>33</v>
      </c>
      <c r="E46" s="6" t="s">
        <v>404</v>
      </c>
      <c r="F46" s="6" t="s">
        <v>534</v>
      </c>
      <c r="G46" s="18">
        <f>SUMIF(每日计划!$B$4:$B$367,A46,每日计划!$H$4:$H$367)</f>
        <v>12.5</v>
      </c>
      <c r="H46" s="18">
        <f>SUMIF(每日计划!$B$4:$B$367,A46,每日计划!$I$4:$I$367)</f>
        <v>0</v>
      </c>
      <c r="I46" s="6">
        <f>COUNTIFS(每日计划!$B$4:$B$367,A46,每日计划!$J$4:$J$367,"已完成")</f>
        <v>0</v>
      </c>
      <c r="J46" s="6">
        <f t="shared" si="0"/>
        <v>7</v>
      </c>
      <c r="K46" s="19">
        <f t="shared" si="1"/>
        <v>0</v>
      </c>
      <c r="L46" s="20"/>
      <c r="M46" s="20" t="s">
        <v>60</v>
      </c>
    </row>
    <row r="47" ht="42" customHeight="1" spans="1:13">
      <c r="A47" s="6">
        <v>44</v>
      </c>
      <c r="B47" s="17">
        <v>46538</v>
      </c>
      <c r="C47" s="17">
        <v>46544</v>
      </c>
      <c r="D47" s="6" t="s">
        <v>33</v>
      </c>
      <c r="E47" s="6" t="s">
        <v>412</v>
      </c>
      <c r="F47" s="6" t="s">
        <v>535</v>
      </c>
      <c r="G47" s="18">
        <f>SUMIF(每日计划!$B$4:$B$367,A47,每日计划!$H$4:$H$367)</f>
        <v>12.5</v>
      </c>
      <c r="H47" s="18">
        <f>SUMIF(每日计划!$B$4:$B$367,A47,每日计划!$I$4:$I$367)</f>
        <v>0</v>
      </c>
      <c r="I47" s="6">
        <f>COUNTIFS(每日计划!$B$4:$B$367,A47,每日计划!$J$4:$J$367,"已完成")</f>
        <v>0</v>
      </c>
      <c r="J47" s="6">
        <f t="shared" si="0"/>
        <v>7</v>
      </c>
      <c r="K47" s="19">
        <f t="shared" si="1"/>
        <v>0</v>
      </c>
      <c r="L47" s="20"/>
      <c r="M47" s="20" t="s">
        <v>60</v>
      </c>
    </row>
    <row r="48" ht="42" customHeight="1" spans="1:13">
      <c r="A48" s="6">
        <v>45</v>
      </c>
      <c r="B48" s="17">
        <v>46545</v>
      </c>
      <c r="C48" s="17">
        <v>46551</v>
      </c>
      <c r="D48" s="6" t="s">
        <v>33</v>
      </c>
      <c r="E48" s="6" t="s">
        <v>420</v>
      </c>
      <c r="F48" s="6" t="s">
        <v>536</v>
      </c>
      <c r="G48" s="18">
        <f>SUMIF(每日计划!$B$4:$B$367,A48,每日计划!$H$4:$H$367)</f>
        <v>12.5</v>
      </c>
      <c r="H48" s="18">
        <f>SUMIF(每日计划!$B$4:$B$367,A48,每日计划!$I$4:$I$367)</f>
        <v>0</v>
      </c>
      <c r="I48" s="6">
        <f>COUNTIFS(每日计划!$B$4:$B$367,A48,每日计划!$J$4:$J$367,"已完成")</f>
        <v>0</v>
      </c>
      <c r="J48" s="6">
        <f t="shared" si="0"/>
        <v>7</v>
      </c>
      <c r="K48" s="19">
        <f t="shared" si="1"/>
        <v>0</v>
      </c>
      <c r="L48" s="20"/>
      <c r="M48" s="20" t="s">
        <v>60</v>
      </c>
    </row>
    <row r="49" ht="42" customHeight="1" spans="1:13">
      <c r="A49" s="6">
        <v>46</v>
      </c>
      <c r="B49" s="17">
        <v>46552</v>
      </c>
      <c r="C49" s="17">
        <v>46558</v>
      </c>
      <c r="D49" s="6" t="s">
        <v>33</v>
      </c>
      <c r="E49" s="6" t="s">
        <v>428</v>
      </c>
      <c r="F49" s="6" t="s">
        <v>537</v>
      </c>
      <c r="G49" s="18">
        <f>SUMIF(每日计划!$B$4:$B$367,A49,每日计划!$H$4:$H$367)</f>
        <v>12.5</v>
      </c>
      <c r="H49" s="18">
        <f>SUMIF(每日计划!$B$4:$B$367,A49,每日计划!$I$4:$I$367)</f>
        <v>0</v>
      </c>
      <c r="I49" s="6">
        <f>COUNTIFS(每日计划!$B$4:$B$367,A49,每日计划!$J$4:$J$367,"已完成")</f>
        <v>0</v>
      </c>
      <c r="J49" s="6">
        <f t="shared" si="0"/>
        <v>7</v>
      </c>
      <c r="K49" s="19">
        <f t="shared" si="1"/>
        <v>0</v>
      </c>
      <c r="L49" s="20"/>
      <c r="M49" s="20" t="s">
        <v>60</v>
      </c>
    </row>
    <row r="50" ht="42" customHeight="1" spans="1:13">
      <c r="A50" s="6">
        <v>47</v>
      </c>
      <c r="B50" s="17">
        <v>46559</v>
      </c>
      <c r="C50" s="17">
        <v>46565</v>
      </c>
      <c r="D50" s="6" t="s">
        <v>33</v>
      </c>
      <c r="E50" s="6" t="s">
        <v>436</v>
      </c>
      <c r="F50" s="6" t="s">
        <v>538</v>
      </c>
      <c r="G50" s="18">
        <f>SUMIF(每日计划!$B$4:$B$367,A50,每日计划!$H$4:$H$367)</f>
        <v>12.5</v>
      </c>
      <c r="H50" s="18">
        <f>SUMIF(每日计划!$B$4:$B$367,A50,每日计划!$I$4:$I$367)</f>
        <v>0</v>
      </c>
      <c r="I50" s="6">
        <f>COUNTIFS(每日计划!$B$4:$B$367,A50,每日计划!$J$4:$J$367,"已完成")</f>
        <v>0</v>
      </c>
      <c r="J50" s="6">
        <f t="shared" si="0"/>
        <v>7</v>
      </c>
      <c r="K50" s="19">
        <f t="shared" si="1"/>
        <v>0</v>
      </c>
      <c r="L50" s="20"/>
      <c r="M50" s="20" t="s">
        <v>60</v>
      </c>
    </row>
    <row r="51" ht="42" customHeight="1" spans="1:13">
      <c r="A51" s="6">
        <v>48</v>
      </c>
      <c r="B51" s="17">
        <v>46566</v>
      </c>
      <c r="C51" s="17">
        <v>46572</v>
      </c>
      <c r="D51" s="6" t="s">
        <v>33</v>
      </c>
      <c r="E51" s="6" t="s">
        <v>444</v>
      </c>
      <c r="F51" s="6" t="s">
        <v>539</v>
      </c>
      <c r="G51" s="18">
        <f>SUMIF(每日计划!$B$4:$B$367,A51,每日计划!$H$4:$H$367)</f>
        <v>12.5</v>
      </c>
      <c r="H51" s="18">
        <f>SUMIF(每日计划!$B$4:$B$367,A51,每日计划!$I$4:$I$367)</f>
        <v>0</v>
      </c>
      <c r="I51" s="6">
        <f>COUNTIFS(每日计划!$B$4:$B$367,A51,每日计划!$J$4:$J$367,"已完成")</f>
        <v>0</v>
      </c>
      <c r="J51" s="6">
        <f t="shared" si="0"/>
        <v>7</v>
      </c>
      <c r="K51" s="19">
        <f t="shared" si="1"/>
        <v>0</v>
      </c>
      <c r="L51" s="20"/>
      <c r="M51" s="20" t="s">
        <v>60</v>
      </c>
    </row>
    <row r="52" ht="42" customHeight="1" spans="1:13">
      <c r="A52" s="6">
        <v>49</v>
      </c>
      <c r="B52" s="17">
        <v>46573</v>
      </c>
      <c r="C52" s="17">
        <v>46579</v>
      </c>
      <c r="D52" s="6" t="s">
        <v>33</v>
      </c>
      <c r="E52" s="6" t="s">
        <v>452</v>
      </c>
      <c r="F52" s="6" t="s">
        <v>540</v>
      </c>
      <c r="G52" s="18">
        <f>SUMIF(每日计划!$B$4:$B$367,A52,每日计划!$H$4:$H$367)</f>
        <v>12.5</v>
      </c>
      <c r="H52" s="18">
        <f>SUMIF(每日计划!$B$4:$B$367,A52,每日计划!$I$4:$I$367)</f>
        <v>0</v>
      </c>
      <c r="I52" s="6">
        <f>COUNTIFS(每日计划!$B$4:$B$367,A52,每日计划!$J$4:$J$367,"已完成")</f>
        <v>0</v>
      </c>
      <c r="J52" s="6">
        <f t="shared" si="0"/>
        <v>7</v>
      </c>
      <c r="K52" s="19">
        <f t="shared" si="1"/>
        <v>0</v>
      </c>
      <c r="L52" s="20"/>
      <c r="M52" s="20" t="s">
        <v>60</v>
      </c>
    </row>
    <row r="53" ht="42" customHeight="1" spans="1:13">
      <c r="A53" s="6">
        <v>50</v>
      </c>
      <c r="B53" s="17">
        <v>46580</v>
      </c>
      <c r="C53" s="17">
        <v>46586</v>
      </c>
      <c r="D53" s="6" t="s">
        <v>33</v>
      </c>
      <c r="E53" s="6" t="s">
        <v>460</v>
      </c>
      <c r="F53" s="6" t="s">
        <v>541</v>
      </c>
      <c r="G53" s="18">
        <f>SUMIF(每日计划!$B$4:$B$367,A53,每日计划!$H$4:$H$367)</f>
        <v>12.5</v>
      </c>
      <c r="H53" s="18">
        <f>SUMIF(每日计划!$B$4:$B$367,A53,每日计划!$I$4:$I$367)</f>
        <v>0</v>
      </c>
      <c r="I53" s="6">
        <f>COUNTIFS(每日计划!$B$4:$B$367,A53,每日计划!$J$4:$J$367,"已完成")</f>
        <v>0</v>
      </c>
      <c r="J53" s="6">
        <f t="shared" si="0"/>
        <v>7</v>
      </c>
      <c r="K53" s="19">
        <f t="shared" si="1"/>
        <v>0</v>
      </c>
      <c r="L53" s="20"/>
      <c r="M53" s="20" t="s">
        <v>60</v>
      </c>
    </row>
    <row r="54" ht="42" customHeight="1" spans="1:13">
      <c r="A54" s="6">
        <v>51</v>
      </c>
      <c r="B54" s="17">
        <v>46587</v>
      </c>
      <c r="C54" s="17">
        <v>46593</v>
      </c>
      <c r="D54" s="6" t="s">
        <v>33</v>
      </c>
      <c r="E54" s="6" t="s">
        <v>468</v>
      </c>
      <c r="F54" s="6" t="s">
        <v>542</v>
      </c>
      <c r="G54" s="18">
        <f>SUMIF(每日计划!$B$4:$B$367,A54,每日计划!$H$4:$H$367)</f>
        <v>12.5</v>
      </c>
      <c r="H54" s="18">
        <f>SUMIF(每日计划!$B$4:$B$367,A54,每日计划!$I$4:$I$367)</f>
        <v>0</v>
      </c>
      <c r="I54" s="6">
        <f>COUNTIFS(每日计划!$B$4:$B$367,A54,每日计划!$J$4:$J$367,"已完成")</f>
        <v>0</v>
      </c>
      <c r="J54" s="6">
        <f t="shared" si="0"/>
        <v>7</v>
      </c>
      <c r="K54" s="19">
        <f t="shared" si="1"/>
        <v>0</v>
      </c>
      <c r="L54" s="20"/>
      <c r="M54" s="20" t="s">
        <v>60</v>
      </c>
    </row>
    <row r="55" ht="42" customHeight="1" spans="1:13">
      <c r="A55" s="9">
        <v>52</v>
      </c>
      <c r="B55" s="21">
        <v>46594</v>
      </c>
      <c r="C55" s="21">
        <v>46600</v>
      </c>
      <c r="D55" s="9" t="s">
        <v>33</v>
      </c>
      <c r="E55" s="9" t="s">
        <v>476</v>
      </c>
      <c r="F55" s="9" t="s">
        <v>543</v>
      </c>
      <c r="G55" s="22">
        <f>SUMIF(每日计划!$B$4:$B$367,A55,每日计划!$H$4:$H$367)</f>
        <v>12.5</v>
      </c>
      <c r="H55" s="22">
        <f>SUMIF(每日计划!$B$4:$B$367,A55,每日计划!$I$4:$I$367)</f>
        <v>0</v>
      </c>
      <c r="I55" s="9">
        <f>COUNTIFS(每日计划!$B$4:$B$367,A55,每日计划!$J$4:$J$367,"已完成")</f>
        <v>0</v>
      </c>
      <c r="J55" s="9">
        <f t="shared" si="0"/>
        <v>7</v>
      </c>
      <c r="K55" s="23">
        <f t="shared" si="1"/>
        <v>0</v>
      </c>
      <c r="L55" s="24"/>
      <c r="M55" s="24" t="s">
        <v>60</v>
      </c>
    </row>
  </sheetData>
  <mergeCells count="1">
    <mergeCell ref="A1:M2"/>
  </mergeCells>
  <conditionalFormatting sqref="K4:K55">
    <cfRule type="dataBar" priority="1">
      <dataBar>
        <cfvo type="min"/>
        <cfvo type="max"/>
        <color rgb="FF147D7E"/>
      </dataBar>
      <extLst>
        <ext xmlns:x14="http://schemas.microsoft.com/office/spreadsheetml/2009/9/main" uri="{B025F937-C7B1-47D3-B67F-A62EFF666E3E}">
          <x14:id>{f6915084-b739-4668-bf59-1f88991698f2}</x14:id>
        </ext>
      </extLst>
    </cfRule>
  </conditionalFormatting>
  <dataValidations count="1">
    <dataValidation type="whole" operator="between" sqref="L4:L55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915084-b739-4668-bf59-1f88991698f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K4:K55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D4" sqref="D4"/>
    </sheetView>
  </sheetViews>
  <sheetFormatPr defaultColWidth="9" defaultRowHeight="14.25" outlineLevelCol="7"/>
  <cols>
    <col min="1" max="1" width="24" customWidth="1"/>
    <col min="2" max="3" width="14" customWidth="1"/>
    <col min="4" max="4" width="42" customWidth="1"/>
    <col min="5" max="8" width="24" customWidth="1"/>
  </cols>
  <sheetData>
    <row r="1" ht="52" customHeight="1" spans="1:8">
      <c r="A1" s="1" t="s">
        <v>544</v>
      </c>
    </row>
    <row r="2" ht="52" customHeight="1"/>
    <row r="3" ht="15" spans="1:8">
      <c r="A3" s="2" t="s">
        <v>545</v>
      </c>
      <c r="B3" s="2" t="s">
        <v>546</v>
      </c>
      <c r="C3" s="2" t="s">
        <v>547</v>
      </c>
      <c r="D3" s="2" t="s">
        <v>548</v>
      </c>
      <c r="E3" s="2" t="s">
        <v>549</v>
      </c>
      <c r="F3" s="2" t="s">
        <v>550</v>
      </c>
      <c r="G3" s="2" t="s">
        <v>551</v>
      </c>
      <c r="H3" s="2" t="s">
        <v>552</v>
      </c>
    </row>
    <row r="4" ht="56" customHeight="1" spans="1:8">
      <c r="A4" s="3" t="s">
        <v>553</v>
      </c>
      <c r="B4" s="4">
        <v>1</v>
      </c>
      <c r="C4" s="5">
        <v>4</v>
      </c>
      <c r="D4" s="3" t="s">
        <v>554</v>
      </c>
      <c r="E4" s="3" t="s">
        <v>555</v>
      </c>
      <c r="F4" s="3" t="s">
        <v>556</v>
      </c>
      <c r="G4" s="3" t="s">
        <v>557</v>
      </c>
      <c r="H4" s="3" t="s">
        <v>558</v>
      </c>
    </row>
    <row r="5" ht="56" customHeight="1" spans="1:8">
      <c r="A5" s="6" t="s">
        <v>559</v>
      </c>
      <c r="B5" s="7">
        <v>1</v>
      </c>
      <c r="C5" s="8">
        <v>4</v>
      </c>
      <c r="D5" s="6" t="s">
        <v>560</v>
      </c>
      <c r="E5" s="6" t="s">
        <v>561</v>
      </c>
      <c r="F5" s="6" t="s">
        <v>562</v>
      </c>
      <c r="G5" s="6" t="s">
        <v>563</v>
      </c>
      <c r="H5" s="6" t="s">
        <v>564</v>
      </c>
    </row>
    <row r="6" ht="56" customHeight="1" spans="1:8">
      <c r="A6" s="6" t="s">
        <v>565</v>
      </c>
      <c r="B6" s="7">
        <v>2</v>
      </c>
      <c r="C6" s="8">
        <v>4</v>
      </c>
      <c r="D6" s="6" t="s">
        <v>566</v>
      </c>
      <c r="E6" s="6" t="s">
        <v>567</v>
      </c>
      <c r="F6" s="6" t="s">
        <v>568</v>
      </c>
      <c r="G6" s="6" t="s">
        <v>569</v>
      </c>
      <c r="H6" s="6" t="s">
        <v>570</v>
      </c>
    </row>
    <row r="7" ht="56" customHeight="1" spans="1:8">
      <c r="A7" s="6" t="s">
        <v>571</v>
      </c>
      <c r="B7" s="7">
        <v>2</v>
      </c>
      <c r="C7" s="8">
        <v>4</v>
      </c>
      <c r="D7" s="6" t="s">
        <v>572</v>
      </c>
      <c r="E7" s="6" t="s">
        <v>573</v>
      </c>
      <c r="F7" s="6" t="s">
        <v>574</v>
      </c>
      <c r="G7" s="6" t="s">
        <v>575</v>
      </c>
      <c r="H7" s="6" t="s">
        <v>576</v>
      </c>
    </row>
    <row r="8" ht="56" customHeight="1" spans="1:8">
      <c r="A8" s="6" t="s">
        <v>577</v>
      </c>
      <c r="B8" s="7">
        <v>1</v>
      </c>
      <c r="C8" s="8">
        <v>4</v>
      </c>
      <c r="D8" s="6" t="s">
        <v>578</v>
      </c>
      <c r="E8" s="6" t="s">
        <v>579</v>
      </c>
      <c r="F8" s="6" t="s">
        <v>580</v>
      </c>
      <c r="G8" s="6" t="s">
        <v>581</v>
      </c>
      <c r="H8" s="6" t="s">
        <v>582</v>
      </c>
    </row>
    <row r="9" ht="56" customHeight="1" spans="1:8">
      <c r="A9" s="6" t="s">
        <v>583</v>
      </c>
      <c r="B9" s="7">
        <v>2</v>
      </c>
      <c r="C9" s="8">
        <v>4</v>
      </c>
      <c r="D9" s="6" t="s">
        <v>584</v>
      </c>
      <c r="E9" s="6" t="s">
        <v>585</v>
      </c>
      <c r="F9" s="6" t="s">
        <v>586</v>
      </c>
      <c r="G9" s="6" t="s">
        <v>587</v>
      </c>
      <c r="H9" s="6" t="s">
        <v>588</v>
      </c>
    </row>
    <row r="10" ht="56" customHeight="1" spans="1:8">
      <c r="A10" s="6" t="s">
        <v>589</v>
      </c>
      <c r="B10" s="7">
        <v>1</v>
      </c>
      <c r="C10" s="8">
        <v>3</v>
      </c>
      <c r="D10" s="6" t="s">
        <v>590</v>
      </c>
      <c r="E10" s="6" t="s">
        <v>591</v>
      </c>
      <c r="F10" s="6" t="s">
        <v>592</v>
      </c>
      <c r="G10" s="6" t="s">
        <v>593</v>
      </c>
      <c r="H10" s="6" t="s">
        <v>594</v>
      </c>
    </row>
    <row r="11" ht="56" customHeight="1" spans="1:8">
      <c r="A11" s="6" t="s">
        <v>595</v>
      </c>
      <c r="B11" s="7">
        <v>1</v>
      </c>
      <c r="C11" s="8">
        <v>3</v>
      </c>
      <c r="D11" s="6" t="s">
        <v>596</v>
      </c>
      <c r="E11" s="6" t="s">
        <v>597</v>
      </c>
      <c r="F11" s="6" t="s">
        <v>598</v>
      </c>
      <c r="G11" s="6" t="s">
        <v>599</v>
      </c>
      <c r="H11" s="6" t="s">
        <v>600</v>
      </c>
    </row>
    <row r="12" ht="56" customHeight="1" spans="1:8">
      <c r="A12" s="9" t="s">
        <v>601</v>
      </c>
      <c r="B12" s="10">
        <v>1</v>
      </c>
      <c r="C12" s="11">
        <v>4</v>
      </c>
      <c r="D12" s="9" t="s">
        <v>602</v>
      </c>
      <c r="E12" s="9" t="s">
        <v>603</v>
      </c>
      <c r="F12" s="9" t="s">
        <v>604</v>
      </c>
      <c r="G12" s="9" t="s">
        <v>605</v>
      </c>
      <c r="H12" s="9" t="s">
        <v>606</v>
      </c>
    </row>
    <row r="15" ht="15" spans="1:8">
      <c r="A15" s="2" t="s">
        <v>607</v>
      </c>
      <c r="B15" s="2"/>
      <c r="C15" s="2"/>
      <c r="D15" s="2"/>
      <c r="E15" s="2"/>
      <c r="F15" s="2"/>
      <c r="G15" s="2"/>
      <c r="H15" s="2"/>
    </row>
    <row r="16" ht="36" customHeight="1" spans="1:8">
      <c r="A16" s="12" t="s">
        <v>608</v>
      </c>
      <c r="B16" s="12" t="s">
        <v>609</v>
      </c>
      <c r="C16" s="12" t="s">
        <v>610</v>
      </c>
      <c r="D16" s="12" t="s">
        <v>611</v>
      </c>
      <c r="E16" s="12" t="s">
        <v>612</v>
      </c>
      <c r="F16" s="12" t="s">
        <v>613</v>
      </c>
      <c r="G16" s="12" t="s">
        <v>614</v>
      </c>
      <c r="H16" s="12" t="s">
        <v>615</v>
      </c>
    </row>
    <row r="17" ht="36" customHeight="1" spans="1:8">
      <c r="A17" s="12" t="s">
        <v>616</v>
      </c>
      <c r="B17" s="12" t="s">
        <v>617</v>
      </c>
      <c r="C17" s="12"/>
      <c r="D17" s="12"/>
      <c r="E17" s="12"/>
      <c r="F17" s="12"/>
      <c r="G17" s="12"/>
      <c r="H17" s="12"/>
    </row>
    <row r="18" ht="36" customHeight="1" spans="1:8">
      <c r="A18" s="12" t="s">
        <v>618</v>
      </c>
      <c r="B18" s="12" t="s">
        <v>619</v>
      </c>
      <c r="C18" s="12"/>
      <c r="D18" s="12"/>
      <c r="E18" s="12"/>
      <c r="F18" s="12"/>
      <c r="G18" s="12"/>
      <c r="H18" s="12"/>
    </row>
  </sheetData>
  <mergeCells count="4">
    <mergeCell ref="A15:H15"/>
    <mergeCell ref="B17:H17"/>
    <mergeCell ref="B18:H18"/>
    <mergeCell ref="A1:H2"/>
  </mergeCells>
  <conditionalFormatting sqref="B4:C12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dataValidations count="1">
    <dataValidation type="whole" operator="between" sqref="B4:B12">
      <formula1>1</formula1>
      <formula2>5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每日计划</vt:lpstr>
      <vt:lpstr>周复盘</vt:lpstr>
      <vt:lpstr>能力地图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王茗骥0400</cp:lastModifiedBy>
  <dcterms:created xsi:type="dcterms:W3CDTF">2026-07-29T07:56:00Z</dcterms:created>
  <dcterms:modified xsi:type="dcterms:W3CDTF">2026-08-04T09:41:43Z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BE7A60A2EAE94D678532D1F69B9B9C53_12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